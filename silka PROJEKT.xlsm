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2A58AF45-E24B-48B6-BA90-7E05E6849FCD}" xr6:coauthVersionLast="47" xr6:coauthVersionMax="47" xr10:uidLastSave="{00000000-0000-0000-0000-000000000000}"/>
  <bookViews>
    <workbookView xWindow="-120" yWindow="-120" windowWidth="29040" windowHeight="15720" activeTab="3" xr2:uid="{73AD5DCA-F822-4956-B40E-664873EF97F3}"/>
  </bookViews>
  <sheets>
    <sheet name="kategorie" sheetId="5" r:id="rId1"/>
    <sheet name="Historia" sheetId="4" r:id="rId2"/>
    <sheet name="Dane Tygodniowe" sheetId="3" r:id="rId3"/>
    <sheet name="Trening A" sheetId="11" r:id="rId4"/>
  </sheets>
  <definedNames>
    <definedName name="_xleta.ROUND" hidden="1" xlm="1">#NAME?</definedName>
    <definedName name="_xleta.SUM" hidden="1" xlm="1">#NAME?</definedName>
    <definedName name="_xleta.T" hidden="1" xlm="1">#NAME?</definedName>
    <definedName name="_xlpm.t" hidden="1" xlm="1">#NAME?</definedName>
    <definedName name="ListaKategorii">Kategorie[Kategoria]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1" l="1"/>
  <c r="O5" i="11" s="1"/>
  <c r="M7" i="11" a="1"/>
  <c r="M7" i="11" s="1"/>
  <c r="I5" i="11" a="1"/>
  <c r="I5" i="11" s="1"/>
  <c r="V30" i="11" l="1"/>
  <c r="Q5" i="11"/>
  <c r="M6" i="11"/>
  <c r="W30" i="11" s="1"/>
  <c r="M8" i="11"/>
  <c r="Q9" i="11"/>
  <c r="Q8" i="11"/>
  <c r="O8" i="11"/>
  <c r="Q6" i="11"/>
  <c r="O7" i="11"/>
  <c r="O10" i="11"/>
  <c r="O9" i="11"/>
  <c r="O11" i="11"/>
  <c r="Q7" i="11"/>
  <c r="O6" i="11"/>
  <c r="Q11" i="11"/>
  <c r="Q10" i="11"/>
  <c r="I6" i="11" a="1"/>
  <c r="I6" i="11" s="1"/>
  <c r="I7" i="11" a="1"/>
  <c r="I7" i="11" s="1"/>
  <c r="I8" i="11" a="1"/>
  <c r="I8" i="11" s="1"/>
  <c r="I9" i="11" a="1"/>
  <c r="I9" i="11" s="1"/>
  <c r="I10" i="11" a="1"/>
  <c r="I10" i="11" s="1"/>
  <c r="I11" i="11" a="1"/>
  <c r="I11" i="11" s="1"/>
  <c r="C16" i="11"/>
  <c r="E15" i="11" s="1"/>
  <c r="X7" i="11" l="1" a="1"/>
  <c r="X7" i="11" s="1"/>
  <c r="E16" i="11"/>
  <c r="H16" i="11" s="1"/>
  <c r="J5" i="11"/>
  <c r="J7" i="11"/>
  <c r="J8" i="11"/>
  <c r="J6" i="11"/>
  <c r="J9" i="11"/>
  <c r="J11" i="11"/>
  <c r="J10" i="11"/>
  <c r="H15" i="11" l="1"/>
  <c r="M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<sst xmlns="http://schemas.openxmlformats.org/spreadsheetml/2006/main" count="172" uniqueCount="96">
  <si>
    <t>Ćwiczenie</t>
  </si>
  <si>
    <t>Klata</t>
  </si>
  <si>
    <t>Plecy</t>
  </si>
  <si>
    <t>Nogi</t>
  </si>
  <si>
    <t>Barki</t>
  </si>
  <si>
    <t>Brzuch</t>
  </si>
  <si>
    <t>Serie</t>
  </si>
  <si>
    <t>Powtórzenia</t>
  </si>
  <si>
    <t>Ciężar</t>
  </si>
  <si>
    <t>Przerwa</t>
  </si>
  <si>
    <t>Objętość treningu [kg]</t>
  </si>
  <si>
    <t>Data treningu</t>
  </si>
  <si>
    <t>Plan</t>
  </si>
  <si>
    <t>Trening A</t>
  </si>
  <si>
    <t>LP</t>
  </si>
  <si>
    <t>Kategoria</t>
  </si>
  <si>
    <t>Notatki</t>
  </si>
  <si>
    <t>plecy</t>
  </si>
  <si>
    <t>barki</t>
  </si>
  <si>
    <t>nogi</t>
  </si>
  <si>
    <t>brzuch</t>
  </si>
  <si>
    <t>Objętość ćwiczenia [kg]</t>
  </si>
  <si>
    <t>biceps</t>
  </si>
  <si>
    <t>triceps</t>
  </si>
  <si>
    <t>Tydzień</t>
  </si>
  <si>
    <t>Liczba treningów</t>
  </si>
  <si>
    <t>Najcięższy trening</t>
  </si>
  <si>
    <t>Biceps</t>
  </si>
  <si>
    <t>Triceps</t>
  </si>
  <si>
    <t>Data</t>
  </si>
  <si>
    <t>SERIE W TYGODNIU</t>
  </si>
  <si>
    <t>Ilość</t>
  </si>
  <si>
    <t>Rok</t>
  </si>
  <si>
    <t>Najcięższy</t>
  </si>
  <si>
    <t>Ser. Klata</t>
  </si>
  <si>
    <t>Ser. Nogi</t>
  </si>
  <si>
    <t>Ser. Barki</t>
  </si>
  <si>
    <t>Ser. Biceps</t>
  </si>
  <si>
    <t>Ser. Triceps</t>
  </si>
  <si>
    <t>Ser. Brzuch</t>
  </si>
  <si>
    <t>Obj. tygodnia</t>
  </si>
  <si>
    <t>Średnia</t>
  </si>
  <si>
    <t>Ser. Plecy</t>
  </si>
  <si>
    <t>klata</t>
  </si>
  <si>
    <t>Data tygodnia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</si>
  <si>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</si>
  <si>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</si>
  <si>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</si>
  <si>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</si>
  <si>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</si>
  <si>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</si>
  <si>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</si>
  <si>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</si>
  <si>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</si>
  <si>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</si>
  <si>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</si>
  <si>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</si>
  <si>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nrMiesiaca.</t>
  </si>
  <si>
    <t>wybranyRok</t>
  </si>
  <si>
    <t>Opis</t>
  </si>
  <si>
    <t>Liczby</t>
  </si>
  <si>
    <t>Objętość w kategorii</t>
  </si>
  <si>
    <t>objętość [kg]</t>
  </si>
  <si>
    <t>Miesiąc</t>
  </si>
  <si>
    <t>Data od:</t>
  </si>
  <si>
    <t>Data do:</t>
  </si>
  <si>
    <t>Objętość treningu</t>
  </si>
  <si>
    <t xml:space="preserve">Objętość ćwiczenia </t>
  </si>
  <si>
    <t xml:space="preserve">TRENING </t>
  </si>
  <si>
    <t>DANE TYGODNIOWE</t>
  </si>
  <si>
    <t>TRENINGI W MIESIĄCU:</t>
  </si>
  <si>
    <t>OBJĘTOŚĆ W MIESIĄCU:</t>
  </si>
  <si>
    <t>Podciąganie</t>
  </si>
  <si>
    <t>płaska</t>
  </si>
  <si>
    <t>przysiady</t>
  </si>
  <si>
    <t>ohp</t>
  </si>
  <si>
    <t>uginanie hantli stojąc</t>
  </si>
  <si>
    <t xml:space="preserve">francuska </t>
  </si>
  <si>
    <t>deska</t>
  </si>
  <si>
    <t>Objętość</t>
  </si>
  <si>
    <t>Objętność porzedni tydzień</t>
  </si>
  <si>
    <t>Objętość tygodnia [kg]</t>
  </si>
  <si>
    <t>Ilość serii w tygodniu:</t>
  </si>
  <si>
    <t>Objętość w tygodniu danej partii:</t>
  </si>
  <si>
    <t>Porównanie objętości:</t>
  </si>
  <si>
    <t xml:space="preserve">Średnia objętości </t>
  </si>
  <si>
    <t>tydzien</t>
  </si>
  <si>
    <t>objętość</t>
  </si>
  <si>
    <t>10;12;9</t>
  </si>
  <si>
    <t>10;12;10</t>
  </si>
  <si>
    <t>10;12;11</t>
  </si>
  <si>
    <t>10;12;12</t>
  </si>
  <si>
    <t>10;12;13</t>
  </si>
  <si>
    <t>10;12;14</t>
  </si>
  <si>
    <t>10;12;15</t>
  </si>
  <si>
    <t>DANE MIESIĘCZNE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</si>
</sst>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theme="0" tint="-4.9989318521683403E-2"/>
      <name val="Aptos Narrow"/>
      <family val="2"/>
      <charset val="238"/>
      <scheme val="minor"/>
    </font>
    <font>
      <b/>
      <sz val="16"/>
      <color theme="0" tint="-4.9989318521683403E-2"/>
      <name val="Segoe UI"/>
      <family val="2"/>
      <charset val="238"/>
    </font>
    <font>
      <b/>
      <sz val="20"/>
      <color theme="0" tint="-4.9989318521683403E-2"/>
      <name val="Segoe UI"/>
      <family val="2"/>
      <charset val="238"/>
    </font>
    <font>
      <sz val="11"/>
      <color theme="0"/>
      <name val="Aptos Narrow"/>
      <family val="2"/>
      <charset val="238"/>
      <scheme val="minor"/>
    </font>
    <font>
      <b/>
      <sz val="18"/>
      <color theme="0" tint="-4.9989318521683403E-2"/>
      <name val="Segoe UI"/>
      <family val="2"/>
      <charset val="238"/>
    </font>
    <font>
      <sz val="16"/>
      <color theme="0" tint="-4.9989318521683403E-2"/>
      <name val="Segoe UI"/>
      <family val="2"/>
      <charset val="238"/>
    </font>
    <font>
      <b/>
      <sz val="16"/>
      <color theme="0"/>
      <name val="Segoe UI"/>
      <family val="2"/>
      <charset val="238"/>
    </font>
    <font>
      <sz val="16"/>
      <color theme="1"/>
      <name val="Aptos Narrow"/>
      <family val="2"/>
      <charset val="238"/>
      <scheme val="minor"/>
    </font>
    <font>
      <sz val="16"/>
      <color rgb="FFFF0000"/>
      <name val="Aptos Narrow"/>
      <family val="2"/>
      <charset val="238"/>
      <scheme val="minor"/>
    </font>
    <font>
      <sz val="16"/>
      <color theme="0" tint="-4.9989318521683403E-2"/>
      <name val="Aptos Narrow"/>
      <family val="2"/>
      <charset val="238"/>
      <scheme val="minor"/>
    </font>
    <font>
      <sz val="16"/>
      <color theme="1"/>
      <name val="Segoe UI"/>
      <family val="2"/>
      <charset val="238"/>
    </font>
    <font>
      <b/>
      <sz val="48"/>
      <color theme="0"/>
      <name val="Segoe UI"/>
      <family val="2"/>
      <charset val="238"/>
    </font>
    <font>
      <b/>
      <sz val="48"/>
      <color theme="0" tint="-4.9989318521683403E-2"/>
      <name val="Segoe UI"/>
      <family val="2"/>
      <charset val="238"/>
    </font>
    <font>
      <b/>
      <sz val="24"/>
      <color theme="0" tint="-4.9989318521683403E-2"/>
      <name val="Segoe UI"/>
      <family val="2"/>
      <charset val="238"/>
    </font>
    <font>
      <b/>
      <sz val="20"/>
      <color theme="0" tint="-4.9989318521683403E-2"/>
      <name val="Aptos Narrow"/>
      <family val="2"/>
      <charset val="238"/>
    </font>
    <font>
      <b/>
      <sz val="24"/>
      <color theme="0" tint="-4.9989318521683403E-2"/>
      <name val="Aptos Narrow"/>
      <family val="2"/>
      <charset val="238"/>
    </font>
    <font>
      <b/>
      <sz val="18"/>
      <color theme="1" tint="0.499984740745262"/>
      <name val="Segoe UI"/>
      <family val="2"/>
      <charset val="238"/>
    </font>
    <font>
      <sz val="16"/>
      <color theme="1" tint="0.249977111117893"/>
      <name val="Aptos Narrow"/>
      <family val="2"/>
      <charset val="238"/>
      <scheme val="minor"/>
    </font>
    <font>
      <sz val="16"/>
      <color theme="0"/>
      <name val="Segoe UI"/>
      <family val="2"/>
      <charset val="238"/>
    </font>
    <font>
      <sz val="11"/>
      <color theme="1" tint="0.249977111117893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3" xfId="0" applyFill="1" applyBorder="1"/>
    <xf numFmtId="0" fontId="0" fillId="0" borderId="3" xfId="0" applyBorder="1"/>
    <xf numFmtId="0" fontId="0" fillId="6" borderId="0" xfId="0" applyFill="1"/>
    <xf numFmtId="0" fontId="3" fillId="6" borderId="0" xfId="0" applyFont="1" applyFill="1"/>
    <xf numFmtId="0" fontId="7" fillId="4" borderId="3" xfId="0" applyFont="1" applyFill="1" applyBorder="1" applyAlignment="1">
      <alignment horizontal="center" vertical="center"/>
    </xf>
    <xf numFmtId="0" fontId="8" fillId="6" borderId="0" xfId="0" applyFont="1" applyFill="1"/>
    <xf numFmtId="0" fontId="9" fillId="6" borderId="0" xfId="0" applyFont="1" applyFill="1" applyAlignment="1">
      <alignment vertical="center" wrapText="1"/>
    </xf>
    <xf numFmtId="0" fontId="10" fillId="6" borderId="0" xfId="0" applyFont="1" applyFill="1"/>
    <xf numFmtId="0" fontId="11" fillId="6" borderId="0" xfId="0" applyFont="1" applyFill="1"/>
    <xf numFmtId="0" fontId="8" fillId="4" borderId="0" xfId="0" applyFont="1" applyFill="1" applyAlignment="1">
      <alignment horizontal="left" vertical="center"/>
    </xf>
    <xf numFmtId="1" fontId="8" fillId="4" borderId="0" xfId="0" applyNumberFormat="1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 wrapText="1"/>
    </xf>
    <xf numFmtId="0" fontId="10" fillId="6" borderId="3" xfId="0" applyFont="1" applyFill="1" applyBorder="1"/>
    <xf numFmtId="0" fontId="4" fillId="4" borderId="3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12" fillId="6" borderId="0" xfId="0" applyFont="1" applyFill="1"/>
    <xf numFmtId="0" fontId="4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vertical="center" wrapText="1"/>
    </xf>
    <xf numFmtId="9" fontId="12" fillId="6" borderId="0" xfId="1" applyFont="1" applyFill="1"/>
    <xf numFmtId="0" fontId="8" fillId="6" borderId="3" xfId="0" applyFont="1" applyFill="1" applyBorder="1"/>
    <xf numFmtId="0" fontId="4" fillId="6" borderId="0" xfId="0" applyFont="1" applyFill="1" applyAlignment="1">
      <alignment vertical="center"/>
    </xf>
    <xf numFmtId="0" fontId="13" fillId="6" borderId="0" xfId="0" applyFont="1" applyFill="1"/>
    <xf numFmtId="0" fontId="10" fillId="3" borderId="0" xfId="0" applyFont="1" applyFill="1"/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right" vertical="center"/>
    </xf>
    <xf numFmtId="14" fontId="7" fillId="4" borderId="0" xfId="0" applyNumberFormat="1" applyFont="1" applyFill="1" applyAlignment="1">
      <alignment horizontal="left" vertical="center" indent="3"/>
    </xf>
    <xf numFmtId="0" fontId="7" fillId="4" borderId="0" xfId="0" applyFont="1" applyFill="1"/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right" vertical="center" wrapText="1"/>
    </xf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1" fontId="17" fillId="4" borderId="3" xfId="0" applyNumberFormat="1" applyFont="1" applyFill="1" applyBorder="1" applyAlignment="1">
      <alignment horizontal="center" vertical="center" wrapText="1"/>
    </xf>
    <xf numFmtId="0" fontId="1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 wrapText="1"/>
    </xf>
    <xf numFmtId="0" fontId="8" fillId="6" borderId="0" xfId="0" applyFon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5" fillId="4" borderId="3" xfId="0" quotePrefix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8" fillId="4" borderId="3" xfId="0" applyFont="1" applyFill="1" applyBorder="1" applyAlignment="1">
      <alignment horizontal="center" wrapText="1"/>
    </xf>
    <xf numFmtId="0" fontId="18" fillId="4" borderId="3" xfId="0" applyFont="1" applyFill="1" applyBorder="1" applyAlignment="1">
      <alignment horizontal="center" vertical="center" wrapText="1"/>
    </xf>
    <xf numFmtId="14" fontId="0" fillId="6" borderId="0" xfId="0" applyNumberFormat="1" applyFill="1"/>
    <xf numFmtId="14" fontId="3" fillId="6" borderId="0" xfId="0" applyNumberFormat="1" applyFont="1" applyFill="1"/>
    <xf numFmtId="0" fontId="6" fillId="6" borderId="0" xfId="0" applyFont="1" applyFill="1"/>
    <xf numFmtId="14" fontId="6" fillId="6" borderId="0" xfId="0" applyNumberFormat="1" applyFont="1" applyFill="1"/>
    <xf numFmtId="0" fontId="19" fillId="4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0" fontId="20" fillId="6" borderId="0" xfId="0" applyFont="1" applyFill="1"/>
    <xf numFmtId="0" fontId="21" fillId="6" borderId="0" xfId="0" applyFont="1" applyFill="1"/>
    <xf numFmtId="0" fontId="22" fillId="6" borderId="0" xfId="0" applyFont="1" applyFill="1"/>
    <xf numFmtId="9" fontId="15" fillId="6" borderId="0" xfId="1" applyFont="1" applyFill="1" applyBorder="1" applyAlignment="1">
      <alignment vertical="center"/>
    </xf>
    <xf numFmtId="0" fontId="14" fillId="6" borderId="0" xfId="0" applyFont="1" applyFill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 indent="3"/>
    </xf>
    <xf numFmtId="0" fontId="16" fillId="6" borderId="0" xfId="0" applyFont="1" applyFill="1" applyAlignment="1">
      <alignment horizontal="left" vertical="center" indent="11"/>
    </xf>
    <xf numFmtId="9" fontId="15" fillId="6" borderId="0" xfId="1" applyFont="1" applyFill="1" applyBorder="1" applyAlignment="1">
      <alignment horizontal="left" vertical="center" indent="48"/>
    </xf>
  </cellXfs>
  <cellStyles count="2">
    <cellStyle name="Normal" xfId="0" builtinId="0"/>
    <cellStyle name="Percent" xfId="1" builtinId="5"/>
  </cellStyles>
  <dxfs count="61"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numFmt numFmtId="0" formatCode="General"/>
      <fill>
        <patternFill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fill>
        <patternFill patternType="solid">
          <fgColor theme="4" tint="0.79998168889431442"/>
          <bgColor theme="1" tint="0.34998626667073579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fill>
        <patternFill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numFmt numFmtId="0" formatCode="General"/>
      <fill>
        <patternFill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fill>
        <patternFill>
          <bgColor theme="1" tint="0.34998626667073579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fill>
        <patternFill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Aptos Narrow"/>
        <family val="2"/>
        <charset val="238"/>
        <scheme val="none"/>
      </font>
      <fill>
        <patternFill patternType="solid"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24"/>
        <color theme="0" tint="-4.9989318521683403E-2"/>
        <name val="Aptos Narrow"/>
        <family val="2"/>
        <charset val="238"/>
        <scheme val="none"/>
      </font>
      <fill>
        <patternFill patternType="solid">
          <bgColor theme="1" tint="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Aptos Narrow"/>
        <family val="2"/>
        <charset val="238"/>
        <scheme val="none"/>
      </font>
      <fill>
        <patternFill patternType="solid">
          <bgColor theme="1" tint="0.499984740745262"/>
        </patternFill>
      </fill>
      <alignment horizont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</dxf>
    <dxf>
      <font>
        <strike val="0"/>
        <outline val="0"/>
        <shadow val="0"/>
        <u val="none"/>
        <vertAlign val="baseline"/>
        <sz val="16"/>
        <color theme="0" tint="-4.9989318521683403E-2"/>
        <name val="Segoe UI"/>
        <family val="2"/>
        <charset val="238"/>
        <scheme val="none"/>
      </font>
      <fill>
        <patternFill patternType="solid">
          <fgColor indexed="64"/>
          <bgColor theme="1" tint="0.499984740745262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numFmt numFmtId="19" formatCode="dd/mm/yyyy"/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9" formatCode="dd/mm/yyyy"/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indexed="64"/>
          <bgColor theme="1" tint="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70203935679213"/>
          <c:y val="2.4677923426454834E-2"/>
          <c:w val="0.84639075882894843"/>
          <c:h val="0.899642510335684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'Trening A'!$O$4</c:f>
              <c:strCache>
                <c:ptCount val="1"/>
                <c:pt idx="0">
                  <c:v>objętość [kg]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strRef>
              <c:f>'Trening A'!$N$5:$N$11</c:f>
              <c:strCache>
                <c:ptCount val="7"/>
                <c:pt idx="0">
                  <c:v>Klata</c:v>
                </c:pt>
                <c:pt idx="1">
                  <c:v>Plecy</c:v>
                </c:pt>
                <c:pt idx="2">
                  <c:v>Nogi</c:v>
                </c:pt>
                <c:pt idx="3">
                  <c:v>Barki</c:v>
                </c:pt>
                <c:pt idx="4">
                  <c:v>Biceps</c:v>
                </c:pt>
                <c:pt idx="5">
                  <c:v>Triceps</c:v>
                </c:pt>
                <c:pt idx="6">
                  <c:v>Brzuch</c:v>
                </c:pt>
              </c:strCache>
            </c:strRef>
          </c:cat>
          <c:val>
            <c:numRef>
              <c:f>'Trening A'!$O$5:$O$11</c:f>
              <c:numCache>
                <c:formatCode>General</c:formatCode>
                <c:ptCount val="7"/>
                <c:pt idx="0">
                  <c:v>1364</c:v>
                </c:pt>
                <c:pt idx="1">
                  <c:v>1364</c:v>
                </c:pt>
                <c:pt idx="2">
                  <c:v>1364</c:v>
                </c:pt>
                <c:pt idx="3">
                  <c:v>1364</c:v>
                </c:pt>
                <c:pt idx="4">
                  <c:v>1364</c:v>
                </c:pt>
                <c:pt idx="5">
                  <c:v>1364</c:v>
                </c:pt>
                <c:pt idx="6">
                  <c:v>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F-4509-874B-8921B0487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27"/>
        <c:axId val="1757616127"/>
        <c:axId val="2037707935"/>
      </c:barChart>
      <c:catAx>
        <c:axId val="175761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37707935"/>
        <c:crosses val="autoZero"/>
        <c:auto val="1"/>
        <c:lblAlgn val="ctr"/>
        <c:lblOffset val="100"/>
        <c:noMultiLvlLbl val="0"/>
      </c:catAx>
      <c:valAx>
        <c:axId val="203770793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57616127"/>
        <c:crosses val="autoZero"/>
        <c:crossBetween val="between"/>
      </c:valAx>
      <c:spPr>
        <a:solidFill>
          <a:schemeClr val="tx1">
            <a:lumMod val="50000"/>
            <a:lumOff val="5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27381051881196"/>
          <c:y val="1.6654456974694642E-2"/>
          <c:w val="0.72241731640325635"/>
          <c:h val="0.9175830889904740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'Trening A'!$Q$4</c:f>
              <c:strCache>
                <c:ptCount val="1"/>
                <c:pt idx="0">
                  <c:v>Ilość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15875">
              <a:solidFill>
                <a:schemeClr val="accent1"/>
              </a:solidFill>
            </a:ln>
            <a:effectLst/>
          </c:spPr>
          <c:invertIfNegative val="0"/>
          <c:cat>
            <c:strRef>
              <c:f>'Trening A'!$P$5:$P$11</c:f>
              <c:strCache>
                <c:ptCount val="7"/>
                <c:pt idx="0">
                  <c:v>Klata</c:v>
                </c:pt>
                <c:pt idx="1">
                  <c:v>Plecy</c:v>
                </c:pt>
                <c:pt idx="2">
                  <c:v>Nogi</c:v>
                </c:pt>
                <c:pt idx="3">
                  <c:v>Barki</c:v>
                </c:pt>
                <c:pt idx="4">
                  <c:v>Biceps</c:v>
                </c:pt>
                <c:pt idx="5">
                  <c:v>Triceps</c:v>
                </c:pt>
                <c:pt idx="6">
                  <c:v>Brzuch</c:v>
                </c:pt>
              </c:strCache>
            </c:strRef>
          </c:cat>
          <c:val>
            <c:numRef>
              <c:f>'Trening A'!$Q$5:$Q$11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F-4868-B2BE-AB98F57F5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28579807"/>
        <c:axId val="2028578367"/>
      </c:barChart>
      <c:catAx>
        <c:axId val="20285798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28578367"/>
        <c:crosses val="autoZero"/>
        <c:auto val="1"/>
        <c:lblAlgn val="ctr"/>
        <c:lblOffset val="100"/>
        <c:noMultiLvlLbl val="0"/>
      </c:catAx>
      <c:valAx>
        <c:axId val="202857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28579807"/>
        <c:crosses val="autoZero"/>
        <c:crossBetween val="between"/>
      </c:valAx>
      <c:spPr>
        <a:solidFill>
          <a:schemeClr val="tx1">
            <a:lumMod val="50000"/>
            <a:lumOff val="5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2000" baseline="0">
                <a:solidFill>
                  <a:schemeClr val="bg1"/>
                </a:solidFill>
              </a:rPr>
              <a:t>Objętość trenigowa tygodniowa</a:t>
            </a:r>
          </a:p>
        </c:rich>
      </c:tx>
      <c:layout>
        <c:manualLayout>
          <c:xMode val="edge"/>
          <c:yMode val="edge"/>
          <c:x val="0.31671229514898824"/>
          <c:y val="5.99492769896909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4829102898984928E-2"/>
          <c:y val="0.14014273769764174"/>
          <c:w val="0.93371129109603346"/>
          <c:h val="0.74656895744654583"/>
        </c:manualLayout>
      </c:layout>
      <c:lineChart>
        <c:grouping val="standard"/>
        <c:varyColors val="0"/>
        <c:ser>
          <c:idx val="0"/>
          <c:order val="0"/>
          <c:tx>
            <c:strRef>
              <c:f>Historia!$B$1</c:f>
              <c:strCache>
                <c:ptCount val="1"/>
                <c:pt idx="0">
                  <c:v>Tydzień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Historia!$B$2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C-403D-92E5-0C8B9FA7B863}"/>
            </c:ext>
          </c:extLst>
        </c:ser>
        <c:ser>
          <c:idx val="1"/>
          <c:order val="1"/>
          <c:tx>
            <c:strRef>
              <c:f>Historia!$C$1</c:f>
              <c:strCache>
                <c:ptCount val="1"/>
                <c:pt idx="0">
                  <c:v>Obj. tygodnia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Historia!$C$2:$C$5</c:f>
              <c:numCache>
                <c:formatCode>General</c:formatCode>
                <c:ptCount val="4"/>
                <c:pt idx="2">
                  <c:v>26418</c:v>
                </c:pt>
                <c:pt idx="3">
                  <c:v>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C-403D-92E5-0C8B9FA7B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1791568"/>
        <c:axId val="1131799248"/>
      </c:lineChart>
      <c:catAx>
        <c:axId val="1131791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31799248"/>
        <c:crosses val="autoZero"/>
        <c:auto val="1"/>
        <c:lblAlgn val="ctr"/>
        <c:lblOffset val="100"/>
        <c:noMultiLvlLbl val="0"/>
      </c:catAx>
      <c:valAx>
        <c:axId val="11317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31791568"/>
        <c:crosses val="autoZero"/>
        <c:crossBetween val="between"/>
      </c:val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51956545336134"/>
          <c:y val="3.3179856442410498E-2"/>
          <c:w val="0.83486689069483466"/>
          <c:h val="0.8987945951200544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'Trening A'!$V$29:$W$29</c:f>
              <c:strCache>
                <c:ptCount val="2"/>
                <c:pt idx="0">
                  <c:v>Objętność porzedni tydzień</c:v>
                </c:pt>
                <c:pt idx="1">
                  <c:v>Objętość</c:v>
                </c:pt>
              </c:strCache>
            </c:strRef>
          </c:cat>
          <c:val>
            <c:numRef>
              <c:f>'Trening A'!$V$30:$W$30</c:f>
              <c:numCache>
                <c:formatCode>General</c:formatCode>
                <c:ptCount val="2"/>
                <c:pt idx="0">
                  <c:v>26418</c:v>
                </c:pt>
                <c:pt idx="1">
                  <c:v>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88-49A3-A5BE-63DEB7F00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71504"/>
        <c:axId val="94269584"/>
      </c:barChart>
      <c:catAx>
        <c:axId val="9427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4269584"/>
        <c:crosses val="autoZero"/>
        <c:auto val="1"/>
        <c:lblAlgn val="ctr"/>
        <c:lblOffset val="100"/>
        <c:noMultiLvlLbl val="0"/>
      </c:catAx>
      <c:valAx>
        <c:axId val="9426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4271504"/>
        <c:crosses val="autoZero"/>
        <c:crossBetween val="between"/>
      </c:valAx>
      <c:spPr>
        <a:solidFill>
          <a:schemeClr val="bg2">
            <a:lumMod val="5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 baseline="0"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2000" baseline="0">
                <a:solidFill>
                  <a:schemeClr val="bg1"/>
                </a:solidFill>
              </a:rPr>
              <a:t>Objętość wybranego miesiąca:</a:t>
            </a:r>
          </a:p>
        </c:rich>
      </c:tx>
      <c:layout>
        <c:manualLayout>
          <c:xMode val="edge"/>
          <c:yMode val="edge"/>
          <c:x val="0.25368193233468339"/>
          <c:y val="2.3085263694605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'Trening A'!$X$7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8-453D-8E05-7309A0711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2572336"/>
        <c:axId val="1682520016"/>
      </c:barChart>
      <c:catAx>
        <c:axId val="168257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2520016"/>
        <c:crosses val="autoZero"/>
        <c:auto val="1"/>
        <c:lblAlgn val="ctr"/>
        <c:lblOffset val="100"/>
        <c:noMultiLvlLbl val="0"/>
      </c:catAx>
      <c:valAx>
        <c:axId val="16825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257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1162916</xdr:colOff>
      <xdr:row>0</xdr:row>
      <xdr:rowOff>52821</xdr:rowOff>
    </xdr:from>
    <xdr:to>
      <xdr:col>9</xdr:col>
      <xdr:colOff>1835726</xdr:colOff>
      <xdr:row>2</xdr:row>
      <xdr:rowOff>109971</xdr:rowOff>
    </xdr:to>
    <xdr:sp macro="[0]!ZakonczTre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D733A01-7A05-574C-5D0F-3AF81644A19A}"/>
            </a:ext>
          </a:extLst>
        </xdr:cNvPr>
        <xdr:cNvSpPr/>
      </xdr:nvSpPr>
      <xdr:spPr>
        <a:xfrm>
          <a:off x="14532552" y="52821"/>
          <a:ext cx="2560492" cy="57669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600" b="1">
              <a:solidFill>
                <a:schemeClr val="bg1"/>
              </a:solidFill>
              <a:latin typeface="+mn-lt"/>
              <a:cs typeface="Aharoni" panose="020F0502020204030204" pitchFamily="2" charset="-79"/>
            </a:rPr>
            <a:t>Zakończ</a:t>
          </a:r>
          <a:r>
            <a:rPr lang="pl-PL" sz="2600" b="1" baseline="0">
              <a:solidFill>
                <a:schemeClr val="bg1"/>
              </a:solidFill>
              <a:latin typeface="+mn-lt"/>
              <a:cs typeface="Aharoni" panose="020F0502020204030204" pitchFamily="2" charset="-79"/>
            </a:rPr>
            <a:t> Trening</a:t>
          </a:r>
          <a:endParaRPr lang="pl-PL" sz="2600" b="1">
            <a:solidFill>
              <a:schemeClr val="bg1"/>
            </a:solidFill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9</xdr:col>
      <xdr:colOff>1853366</xdr:colOff>
      <xdr:row>13</xdr:row>
      <xdr:rowOff>96161</xdr:rowOff>
    </xdr:from>
    <xdr:to>
      <xdr:col>13</xdr:col>
      <xdr:colOff>1949854</xdr:colOff>
      <xdr:row>38</xdr:row>
      <xdr:rowOff>123473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E53C4D5-E56E-BADE-583B-62F53C0172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1868006</xdr:colOff>
      <xdr:row>12</xdr:row>
      <xdr:rowOff>307828</xdr:rowOff>
    </xdr:from>
    <xdr:to>
      <xdr:col>16</xdr:col>
      <xdr:colOff>5330</xdr:colOff>
      <xdr:row>38</xdr:row>
      <xdr:rowOff>17640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6C89AC1-2727-F961-7F9B-4A18499B5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531502</xdr:colOff>
      <xdr:row>9</xdr:row>
      <xdr:rowOff>47922</xdr:rowOff>
    </xdr:from>
    <xdr:to>
      <xdr:col>12</xdr:col>
      <xdr:colOff>872093</xdr:colOff>
      <xdr:row>11</xdr:row>
      <xdr:rowOff>67029</xdr:rowOff>
    </xdr:to>
    <xdr:sp macro="[0]!ZakonczTydzien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9B1A740-6379-51EC-69ED-73112BEB6D14}"/>
            </a:ext>
          </a:extLst>
        </xdr:cNvPr>
        <xdr:cNvSpPr/>
      </xdr:nvSpPr>
      <xdr:spPr>
        <a:xfrm>
          <a:off x="17905808" y="3152366"/>
          <a:ext cx="2651285" cy="65410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600" b="1" baseline="0"/>
            <a:t>Zakończ</a:t>
          </a:r>
          <a:r>
            <a:rPr lang="pl-PL" sz="2000" b="1" baseline="0"/>
            <a:t> </a:t>
          </a:r>
          <a:r>
            <a:rPr lang="pl-PL" sz="2600" b="1" baseline="0"/>
            <a:t>tydzień</a:t>
          </a:r>
        </a:p>
      </xdr:txBody>
    </xdr:sp>
    <xdr:clientData/>
  </xdr:twoCellAnchor>
  <xdr:twoCellAnchor>
    <xdr:from>
      <xdr:col>0</xdr:col>
      <xdr:colOff>113217</xdr:colOff>
      <xdr:row>16</xdr:row>
      <xdr:rowOff>170478</xdr:rowOff>
    </xdr:from>
    <xdr:to>
      <xdr:col>5</xdr:col>
      <xdr:colOff>1005587</xdr:colOff>
      <xdr:row>39</xdr:row>
      <xdr:rowOff>17638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1B5373-3C4D-445E-8BA8-F4DF3A645B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63067</xdr:colOff>
      <xdr:row>14</xdr:row>
      <xdr:rowOff>24933</xdr:rowOff>
    </xdr:from>
    <xdr:to>
      <xdr:col>22</xdr:col>
      <xdr:colOff>599780</xdr:colOff>
      <xdr:row>39</xdr:row>
      <xdr:rowOff>8852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FD05C9C-91CE-B7EC-814E-6445D4EC6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142875</xdr:colOff>
      <xdr:row>20</xdr:row>
      <xdr:rowOff>190501</xdr:rowOff>
    </xdr:from>
    <xdr:to>
      <xdr:col>9</xdr:col>
      <xdr:colOff>1281545</xdr:colOff>
      <xdr:row>39</xdr:row>
      <xdr:rowOff>52275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847182-892A-9FB4-F112-46A5EDA182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3F4FFB-DAF3-4CC5-A398-7B0A8FFF50D8}" name="Kategorie" displayName="Kategorie" ref="A1:A1048576" totalsRowShown="0">
  <autoFilter ref="A1:A1048576" xr:uid="{2B3F4FFB-DAF3-4CC5-A398-7B0A8FFF50D8}"/>
  <tableColumns count="1">
    <tableColumn id="1" xr3:uid="{C438FB64-642E-4D61-8984-2725A26F2308}" name="K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11565F-1684-4D16-81F6-3DF4545FD34D}" name="DaneHistorii" displayName="DaneHistorii" ref="A1:U5" totalsRowShown="0" headerRowDxfId="60" dataDxfId="59">
  <autoFilter ref="A1:U5" xr:uid="{0511565F-1684-4D16-81F6-3DF4545FD34D}"/>
  <tableColumns count="21">
    <tableColumn id="1" xr3:uid="{AA8E2489-1F82-47F0-AEFD-7C00E34EA209}" name="Rok" dataDxfId="58"/>
    <tableColumn id="2" xr3:uid="{A9B19B57-CB6D-4279-8C2B-D444A9D835D1}" name="Tydzień" dataDxfId="57"/>
    <tableColumn id="3" xr3:uid="{BDE3BBF4-B76A-4248-B625-4E7973C626C1}" name="Obj. tygodnia" dataDxfId="56"/>
    <tableColumn id="4" xr3:uid="{DE381CCD-3BD5-4006-B677-DA1611E9E14B}" name="Liczba treningów" dataDxfId="55"/>
    <tableColumn id="5" xr3:uid="{9D750185-FD1C-48DD-A2E5-B5DC3F633650}" name="Najcięższy" dataDxfId="54"/>
    <tableColumn id="6" xr3:uid="{111732D4-8275-4B7C-A62B-623FA40CA1E7}" name="Średnia" dataDxfId="53"/>
    <tableColumn id="7" xr3:uid="{30FBDEEC-9B6C-466F-AC3A-C31D329DB6D4}" name="Klata" dataDxfId="52"/>
    <tableColumn id="8" xr3:uid="{99ADF196-E34D-4C3C-B220-32160BE308CB}" name="Plecy" dataDxfId="51"/>
    <tableColumn id="9" xr3:uid="{34B5FC5C-B5DE-4C89-9574-2001B9E7E8BB}" name="Nogi" dataDxfId="50"/>
    <tableColumn id="10" xr3:uid="{3B83A1B3-DD57-4B14-ADF4-1ECCCC6CA93C}" name="Barki" dataDxfId="49"/>
    <tableColumn id="11" xr3:uid="{941329AF-E302-4676-8F49-167B0988AA2F}" name="Biceps" dataDxfId="48"/>
    <tableColumn id="12" xr3:uid="{37CE0E6C-2A2A-4E4D-A0B4-78C51C2AA981}" name="Triceps" dataDxfId="47"/>
    <tableColumn id="13" xr3:uid="{6DEBFC0B-4298-44C6-8A3A-53A259974A40}" name="Brzuch" dataDxfId="46"/>
    <tableColumn id="14" xr3:uid="{EDC5DFFB-11F1-438C-8208-0A8314317BD0}" name="Ser. Klata" dataDxfId="45"/>
    <tableColumn id="15" xr3:uid="{51311FA6-50B8-4A42-A1C6-8FF482E908A1}" name="Ser. Plecy" dataDxfId="44"/>
    <tableColumn id="16" xr3:uid="{C0EA1A90-5CC0-420E-911E-99E215994894}" name="Ser. Nogi" dataDxfId="43"/>
    <tableColumn id="17" xr3:uid="{EA0D82A9-6DCD-4EE9-B3BE-6D078CE2602C}" name="Ser. Barki" dataDxfId="42"/>
    <tableColumn id="18" xr3:uid="{AFC325ED-6E81-41CD-902E-A0EE51AD92AE}" name="Ser. Biceps" dataDxfId="41"/>
    <tableColumn id="19" xr3:uid="{16416AEB-BA16-4084-8687-96B8DFEDB3BC}" name="Ser. Triceps" dataDxfId="40"/>
    <tableColumn id="20" xr3:uid="{77B4AE2B-46D7-4015-82CD-CB2E4A36CA62}" name="Ser. Brzuch" dataDxfId="39"/>
    <tableColumn id="21" xr3:uid="{86E0F72A-8F45-43C6-9C7E-C8F0E5532B36}" name="Data tygodnia" dataDxfId="3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D266D3-028D-4002-A1E3-1F535F9A98E1}" name="Table7" displayName="Table7" ref="A1:L2" insertRow="1" totalsRowShown="0" headerRowDxfId="37" dataDxfId="36">
  <autoFilter ref="A1:L2" xr:uid="{D2D266D3-028D-4002-A1E3-1F535F9A98E1}"/>
  <sortState xmlns:xlrd2="http://schemas.microsoft.com/office/spreadsheetml/2017/richdata2" ref="A2:L16">
    <sortCondition ref="A1:A16"/>
  </sortState>
  <tableColumns count="12">
    <tableColumn id="1" xr3:uid="{617A5F87-A73E-4796-B0E2-26621BA349B9}" name="Data" dataDxfId="35"/>
    <tableColumn id="2" xr3:uid="{DEE664EC-898F-463B-B5B3-3958BB4FF574}" name="Tydzień" dataDxfId="34"/>
    <tableColumn id="3" xr3:uid="{0EA0F4AE-39FF-4608-9BEA-ADD9066EE470}" name="Plan" dataDxfId="33"/>
    <tableColumn id="4" xr3:uid="{EBC84066-39C1-4671-B614-EE8E615BB916}" name="LP" dataDxfId="32"/>
    <tableColumn id="5" xr3:uid="{89E733BA-F6F5-4B64-92B9-614C1EC255C8}" name="Kategoria" dataDxfId="31"/>
    <tableColumn id="6" xr3:uid="{42248C83-36BC-4091-BE6D-0589E64CA97E}" name="Ćwiczenie" dataDxfId="30"/>
    <tableColumn id="7" xr3:uid="{F3592630-9BCD-456B-A7BA-C108913ADF09}" name="Serie" dataDxfId="29"/>
    <tableColumn id="8" xr3:uid="{88FB8921-F568-4374-A5D5-FD8DDC1B8FEB}" name="Powtórzenia" dataDxfId="28"/>
    <tableColumn id="9" xr3:uid="{8791D8BE-8F0B-4C5F-9981-5A53898256E5}" name="Ciężar" dataDxfId="27"/>
    <tableColumn id="10" xr3:uid="{B2309F26-BDD2-4A2F-9FEC-22A5E841682C}" name="Objętość ćwiczenia [kg]" dataDxfId="26"/>
    <tableColumn id="11" xr3:uid="{1BFB1FB3-64C0-41B0-A504-CE8DFE2AD702}" name="Objętość treningu [kg]" dataDxfId="25"/>
    <tableColumn id="12" xr3:uid="{6CEF7C43-9FBA-41BF-989D-AADF235ACF83}" name="Notatki" dataDxfId="2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18FBA3-7DC2-4A1A-8677-FD1B9DCC2B07}" name="Table13" displayName="Table13" ref="A4:J11" totalsRowShown="0" headerRowDxfId="23" dataDxfId="22">
  <autoFilter ref="A4:J11" xr:uid="{4218FBA3-7DC2-4A1A-8677-FD1B9DCC2B07}"/>
  <tableColumns count="10">
    <tableColumn id="1" xr3:uid="{5BA7F84E-A230-491A-9388-C2C09607E151}" name="LP" dataDxfId="21"/>
    <tableColumn id="2" xr3:uid="{97A7E550-F061-4AA3-8F91-EABCEDE938C1}" name="Kategoria" dataDxfId="20"/>
    <tableColumn id="3" xr3:uid="{AA05A844-CCAA-43EA-8FDF-DF8E5515E229}" name="Ćwiczenie" dataDxfId="19"/>
    <tableColumn id="4" xr3:uid="{FE27E5E7-B677-476B-8A04-487F9DB62195}" name="Serie" dataDxfId="18"/>
    <tableColumn id="5" xr3:uid="{1F293209-7FE2-4358-8D86-360AE4BCF450}" name="Powtórzenia" dataDxfId="17"/>
    <tableColumn id="6" xr3:uid="{C3898EE2-A8F1-409A-9D46-D6FBB99FB487}" name="Ciężar" dataDxfId="16"/>
    <tableColumn id="7" xr3:uid="{6558E11F-4BB2-403E-A4C5-913ED8B70CDC}" name="Przerwa" dataDxfId="15"/>
    <tableColumn id="8" xr3:uid="{1133785A-3D48-44FD-9C96-3315912A7C4F}" name="Notatki" dataDxfId="14"/>
    <tableColumn id="9" xr3:uid="{DF343157-0956-42B4-9B85-78D64D761A4B}" name="Objętość ćwiczenia " dataDxfId="13"/>
    <tableColumn id="10" xr3:uid="{F853779A-1B74-477F-ABE5-64EE77B95606}" name="Objętość treningu" dataDxfId="12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8DC775-A8DE-476A-B8C8-443E8FC72E5B}" name="Table59" displayName="Table59" ref="L4:M9" totalsRowShown="0" headerRowDxfId="11" dataDxfId="10">
  <autoFilter ref="L4:M9" xr:uid="{6A8DC775-A8DE-476A-B8C8-443E8FC72E5B}"/>
  <tableColumns count="2">
    <tableColumn id="1" xr3:uid="{2335000E-115B-4192-B182-BCE5F4710DC3}" name="Opis" dataDxfId="9"/>
    <tableColumn id="2" xr3:uid="{19D540A2-3899-4362-8EBD-31131C711A86}" name="Liczby" dataDxfId="8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D4E20D-27A6-46DF-BA14-5F1B1CCC0526}" name="Table610" displayName="Table610" ref="N4:O11" totalsRowShown="0" headerRowDxfId="7" dataDxfId="6">
  <autoFilter ref="N4:O11" xr:uid="{A4D4E20D-27A6-46DF-BA14-5F1B1CCC0526}"/>
  <tableColumns count="2">
    <tableColumn id="1" xr3:uid="{44AB69C8-45FB-449F-AC65-278C714CDA33}" name="Objętość w kategorii" dataDxfId="5"/>
    <tableColumn id="2" xr3:uid="{193389CB-8690-49F3-81E3-133AE5EDB3E6}" name="objętość [kg]" dataDxfId="4">
      <calculatedColumnFormula>SUMIFS('Dane Tygodniowe'!$J:$J, 'Dane Tygodniowe'!$B:$B, $M$5,'Dane Tygodniowe'!$E:$E,"*"&amp;N5)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3BEACE-391F-4FF8-94A7-6A568854A8E1}" name="Table311" displayName="Table311" ref="P4:Q11" totalsRowShown="0" headerRowDxfId="3" dataDxfId="2">
  <autoFilter ref="P4:Q11" xr:uid="{DB3BEACE-391F-4FF8-94A7-6A568854A8E1}"/>
  <tableColumns count="2">
    <tableColumn id="1" xr3:uid="{E09DA641-C08D-4B2E-8ED4-B0C02037BDAE}" name="SERIE W TYGODNIU" dataDxfId="1"/>
    <tableColumn id="2" xr3:uid="{10674CE6-3C82-4088-8A01-650392A0364C}" name="Ilość" dataDxfId="0">
      <calculatedColumnFormula>SUMIFS('Dane Tygodniowe'!$G:$G, 'Dane Tygodniowe'!$B:$B, $M$5, 'Dane Tygodniowe'!$E:$E, "*"&amp;P5)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D611-CC86-443D-BF53-F325DB3C2D1C}">
  <sheetPr codeName="Sheet3"/>
  <dimension ref="A1:A8"/>
  <sheetViews>
    <sheetView workbookViewId="0">
      <selection activeCell="L30" sqref="L30"/>
    </sheetView>
  </sheetViews>
  <sheetFormatPr defaultRowHeight="15" x14ac:dyDescent="0.25"/>
  <cols>
    <col min="1" max="1" width="17.7109375" customWidth="1"/>
  </cols>
  <sheetData>
    <row r="1" spans="1:1" x14ac:dyDescent="0.25">
      <c r="A1" t="s">
        <v>15</v>
      </c>
    </row>
    <row r="2" spans="1:1" x14ac:dyDescent="0.25">
      <c r="A2" t="s">
        <v>17</v>
      </c>
    </row>
    <row r="3" spans="1:1" x14ac:dyDescent="0.25">
      <c r="A3" t="s">
        <v>43</v>
      </c>
    </row>
    <row r="4" spans="1:1" x14ac:dyDescent="0.25">
      <c r="A4" t="s">
        <v>19</v>
      </c>
    </row>
    <row r="5" spans="1:1" x14ac:dyDescent="0.25">
      <c r="A5" t="s">
        <v>18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E0A9-6F8E-48B8-8418-19B39D93E4D1}">
  <sheetPr codeName="Sheet6"/>
  <dimension ref="A1:W24"/>
  <sheetViews>
    <sheetView workbookViewId="0">
      <selection activeCell="A2" sqref="A2:U3"/>
    </sheetView>
  </sheetViews>
  <sheetFormatPr defaultColWidth="0" defaultRowHeight="15" x14ac:dyDescent="0.25"/>
  <cols>
    <col min="1" max="1" width="9.140625" style="5" customWidth="1"/>
    <col min="2" max="2" width="10" style="5" customWidth="1"/>
    <col min="3" max="3" width="15" style="5" customWidth="1"/>
    <col min="4" max="4" width="19.28515625" style="5" customWidth="1"/>
    <col min="5" max="5" width="13.28515625" style="5" customWidth="1"/>
    <col min="6" max="6" width="12" style="5" customWidth="1"/>
    <col min="7" max="11" width="9.140625" style="5" customWidth="1"/>
    <col min="12" max="12" width="9.7109375" style="5" customWidth="1"/>
    <col min="13" max="13" width="9.140625" style="5" customWidth="1"/>
    <col min="14" max="14" width="11.5703125" style="5" customWidth="1"/>
    <col min="15" max="15" width="12.5703125" style="5" customWidth="1"/>
    <col min="16" max="16" width="11.7109375" style="5" customWidth="1"/>
    <col min="17" max="17" width="11.5703125" style="5" customWidth="1"/>
    <col min="18" max="18" width="13.140625" style="5" customWidth="1"/>
    <col min="19" max="19" width="14" style="5" customWidth="1"/>
    <col min="20" max="20" width="13.140625" style="5" customWidth="1"/>
    <col min="21" max="21" width="15.42578125" style="5" customWidth="1"/>
    <col min="22" max="23" width="0" hidden="1" customWidth="1"/>
    <col min="24" max="16384" width="9.140625" hidden="1"/>
  </cols>
  <sheetData>
    <row r="1" spans="1:23" x14ac:dyDescent="0.25">
      <c r="A1" s="47" t="s">
        <v>32</v>
      </c>
      <c r="B1" s="47" t="s">
        <v>24</v>
      </c>
      <c r="C1" s="47" t="s">
        <v>40</v>
      </c>
      <c r="D1" s="47" t="s">
        <v>25</v>
      </c>
      <c r="E1" s="47" t="s">
        <v>33</v>
      </c>
      <c r="F1" s="47" t="s">
        <v>41</v>
      </c>
      <c r="G1" s="47" t="s">
        <v>1</v>
      </c>
      <c r="H1" s="47" t="s">
        <v>2</v>
      </c>
      <c r="I1" s="47" t="s">
        <v>3</v>
      </c>
      <c r="J1" s="47" t="s">
        <v>4</v>
      </c>
      <c r="K1" s="47" t="s">
        <v>27</v>
      </c>
      <c r="L1" s="47" t="s">
        <v>28</v>
      </c>
      <c r="M1" s="47" t="s">
        <v>5</v>
      </c>
      <c r="N1" s="47" t="s">
        <v>34</v>
      </c>
      <c r="O1" s="47" t="s">
        <v>42</v>
      </c>
      <c r="P1" s="47" t="s">
        <v>35</v>
      </c>
      <c r="Q1" s="47" t="s">
        <v>36</v>
      </c>
      <c r="R1" s="47" t="s">
        <v>37</v>
      </c>
      <c r="S1" s="47" t="s">
        <v>38</v>
      </c>
      <c r="T1" s="47" t="s">
        <v>39</v>
      </c>
      <c r="U1" s="47" t="s">
        <v>44</v>
      </c>
    </row>
    <row r="2" spans="1:23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  <c r="W2" t="s">
        <v>45</v>
      </c>
    </row>
    <row r="3" spans="1:23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t="s">
        <v>46</v>
      </c>
    </row>
    <row r="4" spans="1:23" x14ac:dyDescent="0.25">
      <c r="A4" s="47">
        <v>2025</v>
      </c>
      <c r="B4" s="47">
        <v>48</v>
      </c>
      <c r="C4" s="47">
        <v>26418</v>
      </c>
      <c r="D4" s="47">
        <v>1</v>
      </c>
      <c r="E4" s="47">
        <v>26418</v>
      </c>
      <c r="F4" s="47">
        <v>26418</v>
      </c>
      <c r="G4" s="47">
        <v>3552</v>
      </c>
      <c r="H4" s="47">
        <v>3441</v>
      </c>
      <c r="I4" s="47">
        <v>3663</v>
      </c>
      <c r="J4" s="47">
        <v>3774</v>
      </c>
      <c r="K4" s="47">
        <v>3885</v>
      </c>
      <c r="L4" s="47">
        <v>3996</v>
      </c>
      <c r="M4" s="47">
        <v>4107</v>
      </c>
      <c r="N4" s="47">
        <v>3</v>
      </c>
      <c r="O4" s="47">
        <v>3</v>
      </c>
      <c r="P4" s="47">
        <v>3</v>
      </c>
      <c r="Q4" s="47">
        <v>3</v>
      </c>
      <c r="R4" s="47">
        <v>3</v>
      </c>
      <c r="S4" s="47">
        <v>3</v>
      </c>
      <c r="T4" s="47">
        <v>3</v>
      </c>
      <c r="U4" s="48">
        <v>45988</v>
      </c>
      <c r="W4" t="s">
        <v>47</v>
      </c>
    </row>
    <row r="5" spans="1:23" x14ac:dyDescent="0.25">
      <c r="A5" s="47">
        <v>2025</v>
      </c>
      <c r="B5" s="47">
        <v>49</v>
      </c>
      <c r="C5" s="47">
        <v>9548</v>
      </c>
      <c r="D5" s="47">
        <v>1</v>
      </c>
      <c r="E5" s="47">
        <v>9548</v>
      </c>
      <c r="F5" s="47">
        <v>9548</v>
      </c>
      <c r="G5" s="47">
        <v>1364</v>
      </c>
      <c r="H5" s="47">
        <v>1364</v>
      </c>
      <c r="I5" s="47">
        <v>1364</v>
      </c>
      <c r="J5" s="47">
        <v>1364</v>
      </c>
      <c r="K5" s="47">
        <v>1364</v>
      </c>
      <c r="L5" s="47">
        <v>1364</v>
      </c>
      <c r="M5" s="47">
        <v>1364</v>
      </c>
      <c r="N5" s="47">
        <v>3</v>
      </c>
      <c r="O5" s="47">
        <v>3</v>
      </c>
      <c r="P5" s="47">
        <v>3</v>
      </c>
      <c r="Q5" s="47">
        <v>3</v>
      </c>
      <c r="R5" s="47">
        <v>3</v>
      </c>
      <c r="S5" s="47">
        <v>3</v>
      </c>
      <c r="T5" s="47">
        <v>3</v>
      </c>
      <c r="U5" s="48">
        <v>45993</v>
      </c>
      <c r="W5" t="s">
        <v>48</v>
      </c>
    </row>
    <row r="6" spans="1:23" x14ac:dyDescent="0.25">
      <c r="U6" s="45"/>
      <c r="W6" t="s">
        <v>49</v>
      </c>
    </row>
    <row r="7" spans="1:23" x14ac:dyDescent="0.25">
      <c r="U7" s="45"/>
      <c r="W7" t="s">
        <v>50</v>
      </c>
    </row>
    <row r="8" spans="1:23" x14ac:dyDescent="0.25">
      <c r="U8" s="45"/>
      <c r="W8" t="s">
        <v>51</v>
      </c>
    </row>
    <row r="9" spans="1:23" x14ac:dyDescent="0.25">
      <c r="U9" s="45"/>
      <c r="W9" t="s">
        <v>52</v>
      </c>
    </row>
    <row r="10" spans="1:23" x14ac:dyDescent="0.25">
      <c r="U10" s="45"/>
      <c r="W10" t="s">
        <v>53</v>
      </c>
    </row>
    <row r="11" spans="1:23" x14ac:dyDescent="0.25">
      <c r="U11" s="45"/>
      <c r="W11" t="s">
        <v>54</v>
      </c>
    </row>
    <row r="12" spans="1:23" x14ac:dyDescent="0.25">
      <c r="U12" s="45"/>
      <c r="W12" t="s">
        <v>55</v>
      </c>
    </row>
    <row r="13" spans="1:23" x14ac:dyDescent="0.25">
      <c r="U13" s="45"/>
      <c r="W13" t="s">
        <v>56</v>
      </c>
    </row>
    <row r="14" spans="1:23" x14ac:dyDescent="0.25">
      <c r="U14" s="45"/>
    </row>
    <row r="15" spans="1:23" x14ac:dyDescent="0.25">
      <c r="U15" s="45"/>
    </row>
    <row r="16" spans="1:23" x14ac:dyDescent="0.25">
      <c r="U16" s="45"/>
    </row>
    <row r="17" spans="21:21" x14ac:dyDescent="0.25">
      <c r="U17" s="45"/>
    </row>
    <row r="18" spans="21:21" x14ac:dyDescent="0.25">
      <c r="U18" s="45"/>
    </row>
    <row r="19" spans="21:21" x14ac:dyDescent="0.25">
      <c r="U19" s="45"/>
    </row>
    <row r="20" spans="21:21" x14ac:dyDescent="0.25">
      <c r="U20" s="45"/>
    </row>
    <row r="21" spans="21:21" x14ac:dyDescent="0.25">
      <c r="U21" s="45"/>
    </row>
    <row r="22" spans="21:21" x14ac:dyDescent="0.25">
      <c r="U22" s="45"/>
    </row>
    <row r="23" spans="21:21" x14ac:dyDescent="0.25">
      <c r="U23" s="45"/>
    </row>
    <row r="24" spans="21:21" x14ac:dyDescent="0.25">
      <c r="U24" s="4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117AD-F1B4-4A42-AC9B-AF537097AD08}">
  <sheetPr codeName="Sheet5"/>
  <dimension ref="A1:L43"/>
  <sheetViews>
    <sheetView workbookViewId="0">
      <selection activeCell="E42" sqref="E42"/>
    </sheetView>
  </sheetViews>
  <sheetFormatPr defaultColWidth="9.140625" defaultRowHeight="15" x14ac:dyDescent="0.25"/>
  <cols>
    <col min="1" max="1" width="16.85546875" customWidth="1"/>
    <col min="2" max="2" width="15.140625" customWidth="1"/>
    <col min="3" max="3" width="9.140625" customWidth="1"/>
    <col min="4" max="4" width="15.42578125" customWidth="1"/>
    <col min="5" max="5" width="17.42578125" customWidth="1"/>
    <col min="6" max="6" width="21.140625" customWidth="1"/>
    <col min="7" max="7" width="9.140625" customWidth="1"/>
    <col min="8" max="8" width="14.140625" customWidth="1"/>
    <col min="9" max="9" width="12.7109375" customWidth="1"/>
    <col min="10" max="10" width="24.28515625" customWidth="1"/>
    <col min="11" max="11" width="23.140625" customWidth="1"/>
    <col min="12" max="12" width="17.85546875" customWidth="1"/>
  </cols>
  <sheetData>
    <row r="1" spans="1:12" s="5" customFormat="1" x14ac:dyDescent="0.25">
      <c r="A1" s="5" t="s">
        <v>29</v>
      </c>
      <c r="B1" s="5" t="s">
        <v>24</v>
      </c>
      <c r="C1" s="5" t="s">
        <v>12</v>
      </c>
      <c r="D1" s="5" t="s">
        <v>14</v>
      </c>
      <c r="E1" s="5" t="s">
        <v>15</v>
      </c>
      <c r="F1" s="5" t="s">
        <v>0</v>
      </c>
      <c r="G1" s="5" t="s">
        <v>6</v>
      </c>
      <c r="H1" s="5" t="s">
        <v>7</v>
      </c>
      <c r="I1" s="5" t="s">
        <v>8</v>
      </c>
      <c r="J1" s="5" t="s">
        <v>21</v>
      </c>
      <c r="K1" s="5" t="s">
        <v>10</v>
      </c>
      <c r="L1" s="5" t="s">
        <v>16</v>
      </c>
    </row>
    <row r="2" spans="1:12" s="5" customFormat="1" x14ac:dyDescent="0.25">
      <c r="A2" s="4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s="5" customFormat="1" x14ac:dyDescent="0.25">
      <c r="A3" s="46">
        <v>45988</v>
      </c>
      <c r="B3" s="6">
        <v>48</v>
      </c>
      <c r="C3" s="6" t="s">
        <v>13</v>
      </c>
      <c r="D3" s="6">
        <v>1</v>
      </c>
      <c r="E3" s="6" t="s">
        <v>17</v>
      </c>
      <c r="F3" s="6" t="s">
        <v>72</v>
      </c>
      <c r="G3" s="6">
        <v>3</v>
      </c>
      <c r="H3" s="6" t="s">
        <v>88</v>
      </c>
      <c r="I3" s="6">
        <v>111</v>
      </c>
      <c r="J3" s="6">
        <v>3441</v>
      </c>
      <c r="K3" s="6">
        <v>26418</v>
      </c>
      <c r="L3" s="6"/>
    </row>
    <row r="4" spans="1:12" s="5" customFormat="1" x14ac:dyDescent="0.25">
      <c r="A4" s="46">
        <v>45988</v>
      </c>
      <c r="B4" s="6">
        <v>48</v>
      </c>
      <c r="C4" s="6" t="s">
        <v>13</v>
      </c>
      <c r="D4" s="6">
        <v>2</v>
      </c>
      <c r="E4" s="6" t="s">
        <v>43</v>
      </c>
      <c r="F4" s="6" t="s">
        <v>73</v>
      </c>
      <c r="G4" s="6">
        <v>3</v>
      </c>
      <c r="H4" s="6" t="s">
        <v>89</v>
      </c>
      <c r="I4" s="6">
        <v>111</v>
      </c>
      <c r="J4" s="6">
        <v>3552</v>
      </c>
      <c r="K4" s="6">
        <v>26418</v>
      </c>
      <c r="L4" s="6"/>
    </row>
    <row r="5" spans="1:12" s="5" customFormat="1" x14ac:dyDescent="0.25">
      <c r="A5" s="46">
        <v>45988</v>
      </c>
      <c r="B5" s="6">
        <v>48</v>
      </c>
      <c r="C5" s="6" t="s">
        <v>13</v>
      </c>
      <c r="D5" s="6">
        <v>3</v>
      </c>
      <c r="E5" s="6" t="s">
        <v>19</v>
      </c>
      <c r="F5" s="6" t="s">
        <v>74</v>
      </c>
      <c r="G5" s="6">
        <v>3</v>
      </c>
      <c r="H5" s="6" t="s">
        <v>90</v>
      </c>
      <c r="I5" s="6">
        <v>111</v>
      </c>
      <c r="J5" s="6">
        <v>3663</v>
      </c>
      <c r="K5" s="6">
        <v>26418</v>
      </c>
      <c r="L5" s="6"/>
    </row>
    <row r="6" spans="1:12" s="5" customFormat="1" x14ac:dyDescent="0.25">
      <c r="A6" s="46">
        <v>45988</v>
      </c>
      <c r="B6" s="6">
        <v>48</v>
      </c>
      <c r="C6" s="6" t="s">
        <v>13</v>
      </c>
      <c r="D6" s="6">
        <v>4</v>
      </c>
      <c r="E6" s="6" t="s">
        <v>18</v>
      </c>
      <c r="F6" s="6" t="s">
        <v>75</v>
      </c>
      <c r="G6" s="6">
        <v>3</v>
      </c>
      <c r="H6" s="6" t="s">
        <v>91</v>
      </c>
      <c r="I6" s="6">
        <v>111</v>
      </c>
      <c r="J6" s="6">
        <v>3774</v>
      </c>
      <c r="K6" s="6">
        <v>26418</v>
      </c>
      <c r="L6" s="6"/>
    </row>
    <row r="7" spans="1:12" s="5" customFormat="1" x14ac:dyDescent="0.25">
      <c r="A7" s="46">
        <v>45988</v>
      </c>
      <c r="B7" s="6">
        <v>48</v>
      </c>
      <c r="C7" s="6" t="s">
        <v>13</v>
      </c>
      <c r="D7" s="6">
        <v>5</v>
      </c>
      <c r="E7" s="6" t="s">
        <v>22</v>
      </c>
      <c r="F7" s="6" t="s">
        <v>76</v>
      </c>
      <c r="G7" s="6">
        <v>3</v>
      </c>
      <c r="H7" s="6" t="s">
        <v>92</v>
      </c>
      <c r="I7" s="6">
        <v>111</v>
      </c>
      <c r="J7" s="6">
        <v>3885</v>
      </c>
      <c r="K7" s="6">
        <v>26418</v>
      </c>
      <c r="L7" s="6"/>
    </row>
    <row r="8" spans="1:12" s="5" customFormat="1" x14ac:dyDescent="0.25">
      <c r="A8" s="46">
        <v>45988</v>
      </c>
      <c r="B8" s="6">
        <v>48</v>
      </c>
      <c r="C8" s="6" t="s">
        <v>13</v>
      </c>
      <c r="D8" s="6">
        <v>6</v>
      </c>
      <c r="E8" s="6" t="s">
        <v>23</v>
      </c>
      <c r="F8" s="6" t="s">
        <v>77</v>
      </c>
      <c r="G8" s="6">
        <v>3</v>
      </c>
      <c r="H8" s="6" t="s">
        <v>93</v>
      </c>
      <c r="I8" s="6">
        <v>111</v>
      </c>
      <c r="J8" s="6">
        <v>3996</v>
      </c>
      <c r="K8" s="6">
        <v>26418</v>
      </c>
      <c r="L8" s="6"/>
    </row>
    <row r="9" spans="1:12" s="5" customFormat="1" x14ac:dyDescent="0.25">
      <c r="A9" s="46">
        <v>45988</v>
      </c>
      <c r="B9" s="6">
        <v>48</v>
      </c>
      <c r="C9" s="6" t="s">
        <v>13</v>
      </c>
      <c r="D9" s="6">
        <v>7</v>
      </c>
      <c r="E9" s="6" t="s">
        <v>20</v>
      </c>
      <c r="F9" s="6" t="s">
        <v>78</v>
      </c>
      <c r="G9" s="6">
        <v>3</v>
      </c>
      <c r="H9" s="6" t="s">
        <v>94</v>
      </c>
      <c r="I9" s="6">
        <v>111</v>
      </c>
      <c r="J9" s="6">
        <v>4107</v>
      </c>
      <c r="K9" s="6">
        <v>26418</v>
      </c>
      <c r="L9" s="6"/>
    </row>
    <row r="10" spans="1:12" s="5" customFormat="1" x14ac:dyDescent="0.25">
      <c r="A10" s="46">
        <v>45993</v>
      </c>
      <c r="B10" s="6">
        <v>49</v>
      </c>
      <c r="C10" s="6" t="s">
        <v>13</v>
      </c>
      <c r="D10" s="6">
        <v>1</v>
      </c>
      <c r="E10" s="6" t="s">
        <v>17</v>
      </c>
      <c r="F10" s="6" t="s">
        <v>72</v>
      </c>
      <c r="G10" s="6">
        <v>3</v>
      </c>
      <c r="H10" s="6">
        <v>11</v>
      </c>
      <c r="I10" s="6">
        <v>124</v>
      </c>
      <c r="J10" s="6">
        <v>1364</v>
      </c>
      <c r="K10" s="6">
        <v>9548</v>
      </c>
      <c r="L10" s="6"/>
    </row>
    <row r="11" spans="1:12" s="5" customFormat="1" x14ac:dyDescent="0.25">
      <c r="A11" s="46">
        <v>45993</v>
      </c>
      <c r="B11" s="6">
        <v>49</v>
      </c>
      <c r="C11" s="6" t="s">
        <v>13</v>
      </c>
      <c r="D11" s="6">
        <v>2</v>
      </c>
      <c r="E11" s="6" t="s">
        <v>43</v>
      </c>
      <c r="F11" s="6" t="s">
        <v>73</v>
      </c>
      <c r="G11" s="6">
        <v>3</v>
      </c>
      <c r="H11" s="6">
        <v>11</v>
      </c>
      <c r="I11" s="6">
        <v>124</v>
      </c>
      <c r="J11" s="6">
        <v>1364</v>
      </c>
      <c r="K11" s="6">
        <v>9548</v>
      </c>
      <c r="L11" s="6"/>
    </row>
    <row r="12" spans="1:12" s="5" customFormat="1" x14ac:dyDescent="0.25">
      <c r="A12" s="46">
        <v>45993</v>
      </c>
      <c r="B12" s="6">
        <v>49</v>
      </c>
      <c r="C12" s="6" t="s">
        <v>13</v>
      </c>
      <c r="D12" s="6">
        <v>3</v>
      </c>
      <c r="E12" s="6" t="s">
        <v>19</v>
      </c>
      <c r="F12" s="6" t="s">
        <v>74</v>
      </c>
      <c r="G12" s="6">
        <v>3</v>
      </c>
      <c r="H12" s="6">
        <v>11</v>
      </c>
      <c r="I12" s="6">
        <v>124</v>
      </c>
      <c r="J12" s="6">
        <v>1364</v>
      </c>
      <c r="K12" s="6">
        <v>9548</v>
      </c>
      <c r="L12" s="6"/>
    </row>
    <row r="13" spans="1:12" s="5" customFormat="1" x14ac:dyDescent="0.25">
      <c r="A13" s="46">
        <v>45993</v>
      </c>
      <c r="B13" s="6">
        <v>49</v>
      </c>
      <c r="C13" s="6" t="s">
        <v>13</v>
      </c>
      <c r="D13" s="6">
        <v>4</v>
      </c>
      <c r="E13" s="6" t="s">
        <v>18</v>
      </c>
      <c r="F13" s="6" t="s">
        <v>75</v>
      </c>
      <c r="G13" s="6">
        <v>3</v>
      </c>
      <c r="H13" s="6">
        <v>11</v>
      </c>
      <c r="I13" s="6">
        <v>124</v>
      </c>
      <c r="J13" s="6">
        <v>1364</v>
      </c>
      <c r="K13" s="6">
        <v>9548</v>
      </c>
      <c r="L13" s="6"/>
    </row>
    <row r="14" spans="1:12" s="5" customFormat="1" x14ac:dyDescent="0.25">
      <c r="A14" s="46">
        <v>45993</v>
      </c>
      <c r="B14" s="6">
        <v>49</v>
      </c>
      <c r="C14" s="6" t="s">
        <v>13</v>
      </c>
      <c r="D14" s="6">
        <v>5</v>
      </c>
      <c r="E14" s="6" t="s">
        <v>22</v>
      </c>
      <c r="F14" s="6" t="s">
        <v>76</v>
      </c>
      <c r="G14" s="6">
        <v>3</v>
      </c>
      <c r="H14" s="6">
        <v>11</v>
      </c>
      <c r="I14" s="6">
        <v>124</v>
      </c>
      <c r="J14" s="6">
        <v>1364</v>
      </c>
      <c r="K14" s="6">
        <v>9548</v>
      </c>
      <c r="L14" s="6"/>
    </row>
    <row r="15" spans="1:12" s="5" customFormat="1" x14ac:dyDescent="0.25">
      <c r="A15" s="46">
        <v>45993</v>
      </c>
      <c r="B15" s="6">
        <v>49</v>
      </c>
      <c r="C15" s="6" t="s">
        <v>13</v>
      </c>
      <c r="D15" s="6">
        <v>6</v>
      </c>
      <c r="E15" s="6" t="s">
        <v>23</v>
      </c>
      <c r="F15" s="6" t="s">
        <v>77</v>
      </c>
      <c r="G15" s="6">
        <v>3</v>
      </c>
      <c r="H15" s="6">
        <v>11</v>
      </c>
      <c r="I15" s="6">
        <v>124</v>
      </c>
      <c r="J15" s="6">
        <v>1364</v>
      </c>
      <c r="K15" s="6">
        <v>9548</v>
      </c>
      <c r="L15" s="6"/>
    </row>
    <row r="16" spans="1:12" s="5" customFormat="1" x14ac:dyDescent="0.25">
      <c r="A16" s="45">
        <v>45993</v>
      </c>
      <c r="B16" s="5">
        <v>49</v>
      </c>
      <c r="C16" s="5" t="s">
        <v>13</v>
      </c>
      <c r="D16" s="5">
        <v>7</v>
      </c>
      <c r="E16" s="5" t="s">
        <v>20</v>
      </c>
      <c r="F16" s="5" t="s">
        <v>78</v>
      </c>
      <c r="G16" s="5">
        <v>3</v>
      </c>
      <c r="H16" s="5">
        <v>11</v>
      </c>
      <c r="I16" s="5">
        <v>124</v>
      </c>
      <c r="J16" s="5">
        <v>1364</v>
      </c>
      <c r="K16" s="5">
        <v>9548</v>
      </c>
    </row>
    <row r="17" spans="1:1" s="5" customFormat="1" x14ac:dyDescent="0.25">
      <c r="A17" s="45"/>
    </row>
    <row r="18" spans="1:1" s="5" customFormat="1" x14ac:dyDescent="0.25">
      <c r="A18" s="45"/>
    </row>
    <row r="19" spans="1:1" s="5" customFormat="1" x14ac:dyDescent="0.25">
      <c r="A19" s="45"/>
    </row>
    <row r="20" spans="1:1" s="5" customFormat="1" x14ac:dyDescent="0.25">
      <c r="A20" s="45"/>
    </row>
    <row r="21" spans="1:1" s="5" customFormat="1" x14ac:dyDescent="0.25">
      <c r="A21" s="45"/>
    </row>
    <row r="22" spans="1:1" s="5" customFormat="1" x14ac:dyDescent="0.25">
      <c r="A22" s="45"/>
    </row>
    <row r="23" spans="1:1" s="5" customFormat="1" x14ac:dyDescent="0.25">
      <c r="A23" s="45"/>
    </row>
    <row r="24" spans="1:1" s="5" customFormat="1" x14ac:dyDescent="0.25">
      <c r="A24" s="45"/>
    </row>
    <row r="25" spans="1:1" s="5" customFormat="1" x14ac:dyDescent="0.25">
      <c r="A25" s="45"/>
    </row>
    <row r="26" spans="1:1" s="5" customFormat="1" x14ac:dyDescent="0.25">
      <c r="A26" s="45"/>
    </row>
    <row r="27" spans="1:1" s="5" customFormat="1" x14ac:dyDescent="0.25">
      <c r="A27" s="45"/>
    </row>
    <row r="28" spans="1:1" s="5" customFormat="1" x14ac:dyDescent="0.25">
      <c r="A28" s="45"/>
    </row>
    <row r="29" spans="1:1" s="5" customFormat="1" x14ac:dyDescent="0.25">
      <c r="A29" s="45"/>
    </row>
    <row r="30" spans="1:1" s="5" customFormat="1" x14ac:dyDescent="0.25">
      <c r="A30" s="45"/>
    </row>
    <row r="31" spans="1:1" s="5" customFormat="1" x14ac:dyDescent="0.25">
      <c r="A31" s="45"/>
    </row>
    <row r="32" spans="1:1" s="5" customFormat="1" x14ac:dyDescent="0.25">
      <c r="A32" s="45"/>
    </row>
    <row r="33" spans="1:1" s="5" customFormat="1" x14ac:dyDescent="0.25">
      <c r="A33" s="45"/>
    </row>
    <row r="34" spans="1:1" s="5" customFormat="1" x14ac:dyDescent="0.25">
      <c r="A34" s="45"/>
    </row>
    <row r="35" spans="1:1" s="5" customFormat="1" x14ac:dyDescent="0.25">
      <c r="A35" s="45"/>
    </row>
    <row r="36" spans="1:1" s="5" customFormat="1" x14ac:dyDescent="0.25">
      <c r="A36" s="45"/>
    </row>
    <row r="37" spans="1:1" s="5" customFormat="1" x14ac:dyDescent="0.25">
      <c r="A37" s="45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2E0A-1719-470C-A4A0-A3406D978A7F}">
  <sheetPr codeName="Sheet7">
    <pageSetUpPr autoPageBreaks="0"/>
  </sheetPr>
  <dimension ref="A1:Y115"/>
  <sheetViews>
    <sheetView tabSelected="1" zoomScale="55" zoomScaleNormal="55" workbookViewId="0">
      <selection activeCell="S6" sqref="S6"/>
    </sheetView>
  </sheetViews>
  <sheetFormatPr defaultColWidth="0" defaultRowHeight="15" zeroHeight="1" x14ac:dyDescent="0.25"/>
  <cols>
    <col min="1" max="1" width="28.5703125" customWidth="1"/>
    <col min="2" max="2" width="25.140625" customWidth="1"/>
    <col min="3" max="3" width="24.85546875" customWidth="1"/>
    <col min="4" max="4" width="17.28515625" customWidth="1"/>
    <col min="5" max="5" width="24.42578125" customWidth="1"/>
    <col min="6" max="6" width="18" customWidth="1"/>
    <col min="7" max="7" width="23.5703125" customWidth="1"/>
    <col min="8" max="8" width="19.28515625" customWidth="1"/>
    <col min="9" max="10" width="33.85546875" customWidth="1"/>
    <col min="11" max="11" width="4.42578125" style="4" customWidth="1"/>
    <col min="12" max="12" width="34.7109375" customWidth="1"/>
    <col min="13" max="13" width="20.5703125" customWidth="1"/>
    <col min="14" max="14" width="33.7109375" customWidth="1"/>
    <col min="15" max="15" width="29.140625" customWidth="1"/>
    <col min="16" max="16" width="39.85546875" customWidth="1"/>
    <col min="17" max="17" width="18.140625" customWidth="1"/>
    <col min="18" max="23" width="9.140625" customWidth="1"/>
    <col min="24" max="24" width="12.5703125" customWidth="1"/>
    <col min="25" max="25" width="9.140625" customWidth="1"/>
    <col min="26" max="16384" width="9.140625" hidden="1"/>
  </cols>
  <sheetData>
    <row r="1" spans="1:25" ht="20.25" customHeight="1" x14ac:dyDescent="0.5">
      <c r="A1" s="50" t="s">
        <v>11</v>
      </c>
      <c r="B1" s="51">
        <v>45993</v>
      </c>
      <c r="C1" s="58" t="s">
        <v>68</v>
      </c>
      <c r="D1" s="58"/>
      <c r="E1" s="58"/>
      <c r="F1" s="58"/>
      <c r="G1" s="58"/>
      <c r="H1" s="8"/>
      <c r="I1" s="8"/>
      <c r="J1" s="8"/>
      <c r="K1" s="9"/>
      <c r="L1" s="56" t="s">
        <v>69</v>
      </c>
      <c r="M1" s="56"/>
      <c r="N1" s="56"/>
      <c r="O1" s="56"/>
      <c r="P1" s="56"/>
      <c r="Q1" s="56"/>
      <c r="R1" s="56"/>
      <c r="S1" s="56"/>
      <c r="T1" s="56"/>
      <c r="U1" s="56"/>
      <c r="V1" s="56"/>
      <c r="W1" s="9"/>
      <c r="X1" s="10">
        <v>2025</v>
      </c>
      <c r="Y1" s="11"/>
    </row>
    <row r="2" spans="1:25" ht="20.25" customHeight="1" x14ac:dyDescent="0.5">
      <c r="A2" s="50" t="s">
        <v>12</v>
      </c>
      <c r="B2" s="50" t="s">
        <v>13</v>
      </c>
      <c r="C2" s="58"/>
      <c r="D2" s="58"/>
      <c r="E2" s="58"/>
      <c r="F2" s="58"/>
      <c r="G2" s="58"/>
      <c r="H2" s="8"/>
      <c r="I2" s="8"/>
      <c r="J2" s="8"/>
      <c r="K2" s="9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9"/>
      <c r="X2" s="10">
        <v>2026</v>
      </c>
      <c r="Y2" s="11"/>
    </row>
    <row r="3" spans="1:25" ht="16.5" customHeight="1" x14ac:dyDescent="0.5">
      <c r="A3" s="8"/>
      <c r="B3" s="8"/>
      <c r="C3" s="58"/>
      <c r="D3" s="58"/>
      <c r="E3" s="58"/>
      <c r="F3" s="58"/>
      <c r="G3" s="58"/>
      <c r="H3" s="8"/>
      <c r="I3" s="8"/>
      <c r="J3" s="8"/>
      <c r="K3" s="9"/>
      <c r="L3" s="57"/>
      <c r="M3" s="57"/>
      <c r="N3" s="57"/>
      <c r="O3" s="57"/>
      <c r="P3" s="57"/>
      <c r="Q3" s="57"/>
      <c r="R3" s="56"/>
      <c r="S3" s="56"/>
      <c r="T3" s="56"/>
      <c r="U3" s="56"/>
      <c r="V3" s="56"/>
      <c r="W3" s="9"/>
      <c r="X3" s="10">
        <v>2027</v>
      </c>
      <c r="Y3" s="11"/>
    </row>
    <row r="4" spans="1:25" s="5" customFormat="1" ht="35.25" customHeight="1" x14ac:dyDescent="0.55000000000000004">
      <c r="A4" s="12" t="s">
        <v>14</v>
      </c>
      <c r="B4" s="12" t="s">
        <v>15</v>
      </c>
      <c r="C4" s="12" t="s">
        <v>0</v>
      </c>
      <c r="D4" s="13" t="s">
        <v>6</v>
      </c>
      <c r="E4" s="12" t="s">
        <v>7</v>
      </c>
      <c r="F4" s="12" t="s">
        <v>8</v>
      </c>
      <c r="G4" s="12" t="s">
        <v>9</v>
      </c>
      <c r="H4" s="12" t="s">
        <v>16</v>
      </c>
      <c r="I4" s="12" t="s">
        <v>67</v>
      </c>
      <c r="J4" s="14" t="s">
        <v>66</v>
      </c>
      <c r="K4" s="15"/>
      <c r="L4" s="33" t="s">
        <v>59</v>
      </c>
      <c r="M4" s="34" t="s">
        <v>60</v>
      </c>
      <c r="N4" s="17" t="s">
        <v>61</v>
      </c>
      <c r="O4" s="16" t="s">
        <v>62</v>
      </c>
      <c r="P4" s="17" t="s">
        <v>30</v>
      </c>
      <c r="Q4" s="16" t="s">
        <v>31</v>
      </c>
      <c r="R4" s="18"/>
      <c r="S4" s="18"/>
      <c r="T4" s="10"/>
      <c r="U4" s="10"/>
      <c r="V4" s="10"/>
      <c r="W4" s="10"/>
      <c r="X4" s="52">
        <v>2028</v>
      </c>
      <c r="Y4" s="10"/>
    </row>
    <row r="5" spans="1:25" s="5" customFormat="1" ht="26.25" customHeight="1" x14ac:dyDescent="0.5">
      <c r="A5" s="17">
        <v>1</v>
      </c>
      <c r="B5" s="19" t="s">
        <v>17</v>
      </c>
      <c r="C5" s="19" t="s">
        <v>72</v>
      </c>
      <c r="D5" s="20"/>
      <c r="E5" s="20"/>
      <c r="F5" s="20"/>
      <c r="G5" s="20"/>
      <c r="H5" s="20"/>
      <c r="I5" s="20" t="str" cm="1">
        <f t="array" ref="I5">IF(OR(E5="",F5=""),"",SUM(--_xlfn.TEXTSPLIT(E5,";") * --_xlfn.TEXTSPLIT(F5,";")))</f>
        <v/>
      </c>
      <c r="J5" s="20" t="str">
        <f t="shared" ref="J5:J11" si="0">IF(I5="","",SUM($I$5:$I$998))</f>
        <v/>
      </c>
      <c r="K5" s="15"/>
      <c r="L5" s="43" t="s">
        <v>24</v>
      </c>
      <c r="M5" s="35">
        <f>INDEX('Dane Tygodniowe'!B:B, MATCH(B1, 'Dane Tygodniowe'!A:A, 0))</f>
        <v>49</v>
      </c>
      <c r="N5" s="40" t="s">
        <v>1</v>
      </c>
      <c r="O5" s="41">
        <f>SUMIFS('Dane Tygodniowe'!$J:$J, 'Dane Tygodniowe'!$B:$B, $M$5,'Dane Tygodniowe'!$E:$E,"*"&amp;N5)</f>
        <v>1364</v>
      </c>
      <c r="P5" s="40" t="s">
        <v>1</v>
      </c>
      <c r="Q5" s="32">
        <f>SUMIFS('Dane Tygodniowe'!$G:$G, 'Dane Tygodniowe'!$B:$B, $M$5, 'Dane Tygodniowe'!$E:$E, "*"&amp;P5)</f>
        <v>3</v>
      </c>
      <c r="R5" s="18"/>
      <c r="S5" s="18"/>
      <c r="T5" s="10"/>
      <c r="U5" s="10"/>
      <c r="V5" s="10"/>
      <c r="W5" s="10"/>
      <c r="X5" s="52">
        <v>2029</v>
      </c>
      <c r="Y5" s="10"/>
    </row>
    <row r="6" spans="1:25" s="5" customFormat="1" ht="30.75" customHeight="1" x14ac:dyDescent="0.5">
      <c r="A6" s="17">
        <v>2</v>
      </c>
      <c r="B6" s="19" t="s">
        <v>43</v>
      </c>
      <c r="C6" s="19" t="s">
        <v>73</v>
      </c>
      <c r="D6" s="20"/>
      <c r="E6" s="20"/>
      <c r="F6" s="20"/>
      <c r="G6" s="20"/>
      <c r="H6" s="20"/>
      <c r="I6" s="20" t="str" cm="1">
        <f t="array" ref="I6">IF(OR(E6="",F6=""),"",SUM(--_xlfn.TEXTSPLIT(E6,";") * --_xlfn.TEXTSPLIT(F6,";")))</f>
        <v/>
      </c>
      <c r="J6" s="20" t="str">
        <f t="shared" si="0"/>
        <v/>
      </c>
      <c r="K6" s="15"/>
      <c r="L6" s="43" t="s">
        <v>81</v>
      </c>
      <c r="M6" s="35">
        <f>SUMIFS('Dane Tygodniowe'!$J:$J, 'Dane Tygodniowe'!$B:$B, $M$5)</f>
        <v>9548</v>
      </c>
      <c r="N6" s="40" t="s">
        <v>2</v>
      </c>
      <c r="O6" s="41">
        <f>SUMIFS('Dane Tygodniowe'!$J:$J, 'Dane Tygodniowe'!$B:$B, $M$5,'Dane Tygodniowe'!$E:$E,"*"&amp;N6)</f>
        <v>1364</v>
      </c>
      <c r="P6" s="40" t="s">
        <v>2</v>
      </c>
      <c r="Q6" s="32">
        <f>SUMIFS('Dane Tygodniowe'!$G:$G, 'Dane Tygodniowe'!$B:$B, $M$5, 'Dane Tygodniowe'!$E:$E, "*"&amp;P6)</f>
        <v>3</v>
      </c>
      <c r="R6" s="18"/>
      <c r="S6" s="21"/>
      <c r="T6" s="10"/>
      <c r="U6" s="10"/>
      <c r="V6" s="10"/>
      <c r="W6" s="10"/>
      <c r="X6" s="52" t="s">
        <v>86</v>
      </c>
      <c r="Y6" s="54" t="s">
        <v>87</v>
      </c>
    </row>
    <row r="7" spans="1:25" s="5" customFormat="1" ht="31.5" x14ac:dyDescent="0.5">
      <c r="A7" s="17">
        <v>3</v>
      </c>
      <c r="B7" s="19" t="s">
        <v>19</v>
      </c>
      <c r="C7" s="19" t="s">
        <v>74</v>
      </c>
      <c r="D7" s="20"/>
      <c r="E7" s="20"/>
      <c r="F7" s="20"/>
      <c r="G7" s="20"/>
      <c r="H7" s="20"/>
      <c r="I7" s="20" t="str" cm="1">
        <f t="array" ref="I7">IF(OR(E7="",F7=""),"",SUM(--_xlfn.TEXTSPLIT(E7,";") * --_xlfn.TEXTSPLIT(F7,";")))</f>
        <v/>
      </c>
      <c r="J7" s="20" t="str">
        <f t="shared" si="0"/>
        <v/>
      </c>
      <c r="K7" s="22"/>
      <c r="L7" s="43" t="s">
        <v>25</v>
      </c>
      <c r="M7" s="35" cm="1">
        <f t="array" ref="M7">ROWS(_xlfn.UNIQUE(_xlfn._xlws.FILTER('Dane Tygodniowe'!A:A,'Dane Tygodniowe'!B:B=$M$5)))</f>
        <v>1</v>
      </c>
      <c r="N7" s="40" t="s">
        <v>3</v>
      </c>
      <c r="O7" s="41">
        <f>SUMIFS('Dane Tygodniowe'!$J:$J, 'Dane Tygodniowe'!$B:$B, $M$5,'Dane Tygodniowe'!$E:$E,"*"&amp;N7)</f>
        <v>1364</v>
      </c>
      <c r="P7" s="42" t="s">
        <v>3</v>
      </c>
      <c r="Q7" s="32">
        <f>SUMIFS('Dane Tygodniowe'!$G:$G, 'Dane Tygodniowe'!$B:$B, $M$5, 'Dane Tygodniowe'!$E:$E, "*"&amp;P7)</f>
        <v>3</v>
      </c>
      <c r="R7" s="18"/>
      <c r="S7" s="18"/>
      <c r="T7" s="10"/>
      <c r="U7" s="10"/>
      <c r="V7" s="10"/>
      <c r="W7" s="10"/>
      <c r="X7" s="10" cm="1">
        <f t="array" ref="X7:Y7">_xlfn._xlws.FILTER(Historia!B:C, (Historia!U:U&gt;=E15) * (Historia!U:U&lt;=E16), "Brak treningów")</f>
        <v>48</v>
      </c>
      <c r="Y7" s="10">
        <v>26418</v>
      </c>
    </row>
    <row r="8" spans="1:25" s="5" customFormat="1" ht="57.75" customHeight="1" x14ac:dyDescent="0.5">
      <c r="A8" s="17">
        <v>4</v>
      </c>
      <c r="B8" s="19" t="s">
        <v>18</v>
      </c>
      <c r="C8" s="19" t="s">
        <v>75</v>
      </c>
      <c r="D8" s="20"/>
      <c r="E8" s="20"/>
      <c r="F8" s="20"/>
      <c r="G8" s="20"/>
      <c r="H8" s="20"/>
      <c r="I8" s="20" t="str" cm="1">
        <f t="array" ref="I8">IF(OR(E8="",F8=""),"",SUM(--_xlfn.TEXTSPLIT(E8,";") * --_xlfn.TEXTSPLIT(F8,";")))</f>
        <v/>
      </c>
      <c r="J8" s="20" t="str">
        <f t="shared" si="0"/>
        <v/>
      </c>
      <c r="K8" s="22"/>
      <c r="L8" s="43" t="s">
        <v>26</v>
      </c>
      <c r="M8" s="35">
        <f>_xlfn.MAXIFS('Dane Tygodniowe'!K:K, 'Dane Tygodniowe'!B:B, $M$5)</f>
        <v>9548</v>
      </c>
      <c r="N8" s="40" t="s">
        <v>4</v>
      </c>
      <c r="O8" s="41">
        <f>SUMIFS('Dane Tygodniowe'!$J:$J, 'Dane Tygodniowe'!$B:$B, $M$5,'Dane Tygodniowe'!$E:$E,"*"&amp;N8)</f>
        <v>1364</v>
      </c>
      <c r="P8" s="40" t="s">
        <v>4</v>
      </c>
      <c r="Q8" s="32">
        <f>SUMIFS('Dane Tygodniowe'!$G:$G, 'Dane Tygodniowe'!$B:$B, $M$5, 'Dane Tygodniowe'!$E:$E, "*"&amp;P8)</f>
        <v>3</v>
      </c>
      <c r="R8" s="18"/>
      <c r="S8" s="18"/>
      <c r="T8" s="10"/>
      <c r="U8" s="10"/>
      <c r="V8" s="10"/>
      <c r="W8" s="10"/>
      <c r="X8" s="10"/>
      <c r="Y8" s="10"/>
    </row>
    <row r="9" spans="1:25" s="5" customFormat="1" ht="59.25" customHeight="1" x14ac:dyDescent="0.5">
      <c r="A9" s="17">
        <v>5</v>
      </c>
      <c r="B9" s="19" t="s">
        <v>22</v>
      </c>
      <c r="C9" s="19" t="s">
        <v>76</v>
      </c>
      <c r="D9" s="20"/>
      <c r="E9" s="20"/>
      <c r="F9" s="20"/>
      <c r="G9" s="20"/>
      <c r="H9" s="20"/>
      <c r="I9" s="20" t="str" cm="1">
        <f t="array" ref="I9">IF(OR(E9="",F9=""),"",SUM(--_xlfn.TEXTSPLIT(E9,";") * --_xlfn.TEXTSPLIT(F9,";")))</f>
        <v/>
      </c>
      <c r="J9" s="20" t="str">
        <f t="shared" si="0"/>
        <v/>
      </c>
      <c r="K9" s="22"/>
      <c r="L9" s="44" t="s">
        <v>85</v>
      </c>
      <c r="M9" s="36">
        <f>IF(M7=0,0,M6/M7)</f>
        <v>9548</v>
      </c>
      <c r="N9" s="40" t="s">
        <v>27</v>
      </c>
      <c r="O9" s="41">
        <f>SUMIFS('Dane Tygodniowe'!$J:$J, 'Dane Tygodniowe'!$B:$B, $M$5,'Dane Tygodniowe'!$E:$E,"*"&amp;N9)</f>
        <v>1364</v>
      </c>
      <c r="P9" s="42" t="s">
        <v>27</v>
      </c>
      <c r="Q9" s="32">
        <f>SUMIFS('Dane Tygodniowe'!$G:$G, 'Dane Tygodniowe'!$B:$B, $M$5, 'Dane Tygodniowe'!$E:$E, "*"&amp;P9)</f>
        <v>3</v>
      </c>
      <c r="R9" s="18"/>
      <c r="S9" s="18"/>
      <c r="T9" s="10"/>
      <c r="U9" s="10"/>
      <c r="V9" s="10"/>
      <c r="W9" s="10"/>
      <c r="X9" s="10"/>
      <c r="Y9" s="10"/>
    </row>
    <row r="10" spans="1:25" s="5" customFormat="1" ht="30.75" x14ac:dyDescent="0.5">
      <c r="A10" s="17">
        <v>6</v>
      </c>
      <c r="B10" s="19" t="s">
        <v>23</v>
      </c>
      <c r="C10" s="19" t="s">
        <v>77</v>
      </c>
      <c r="D10" s="20"/>
      <c r="E10" s="20"/>
      <c r="F10" s="20"/>
      <c r="G10" s="20"/>
      <c r="H10" s="20"/>
      <c r="I10" s="20" t="str" cm="1">
        <f t="array" ref="I10">IF(OR(E10="",F10=""),"",SUM(--_xlfn.TEXTSPLIT(E10,";") * --_xlfn.TEXTSPLIT(F10,";")))</f>
        <v/>
      </c>
      <c r="J10" s="20" t="str">
        <f t="shared" si="0"/>
        <v/>
      </c>
      <c r="K10" s="22"/>
      <c r="L10" s="8"/>
      <c r="M10" s="8"/>
      <c r="N10" s="40" t="s">
        <v>28</v>
      </c>
      <c r="O10" s="41">
        <f>SUMIFS('Dane Tygodniowe'!$J:$J, 'Dane Tygodniowe'!$B:$B, $M$5,'Dane Tygodniowe'!$E:$E,"*"&amp;N10)</f>
        <v>1364</v>
      </c>
      <c r="P10" s="40" t="s">
        <v>28</v>
      </c>
      <c r="Q10" s="32">
        <f>SUMIFS('Dane Tygodniowe'!$G:$G, 'Dane Tygodniowe'!$B:$B, $M$5, 'Dane Tygodniowe'!$E:$E, "*"&amp;P10)</f>
        <v>3</v>
      </c>
      <c r="R10" s="18"/>
      <c r="S10" s="18"/>
      <c r="T10" s="10"/>
      <c r="U10" s="10"/>
      <c r="V10" s="10"/>
      <c r="W10" s="10"/>
      <c r="X10" s="10"/>
      <c r="Y10" s="10"/>
    </row>
    <row r="11" spans="1:25" s="5" customFormat="1" ht="30.75" x14ac:dyDescent="0.5">
      <c r="A11" s="17">
        <v>7</v>
      </c>
      <c r="B11" s="19" t="s">
        <v>20</v>
      </c>
      <c r="C11" s="19" t="s">
        <v>78</v>
      </c>
      <c r="D11" s="20"/>
      <c r="E11" s="20"/>
      <c r="F11" s="20"/>
      <c r="G11" s="20"/>
      <c r="H11" s="20"/>
      <c r="I11" s="20" t="str" cm="1">
        <f t="array" ref="I11">IF(OR(E11="",F11=""),"",SUM(--_xlfn.TEXTSPLIT(E11,";") * --_xlfn.TEXTSPLIT(F11,";")))</f>
        <v/>
      </c>
      <c r="J11" s="20" t="str">
        <f t="shared" si="0"/>
        <v/>
      </c>
      <c r="K11" s="22"/>
      <c r="L11" s="8"/>
      <c r="M11" s="8"/>
      <c r="N11" s="40" t="s">
        <v>5</v>
      </c>
      <c r="O11" s="41">
        <f>SUMIFS('Dane Tygodniowe'!$J:$J, 'Dane Tygodniowe'!$B:$B, $M$5,'Dane Tygodniowe'!$E:$E,"*"&amp;N11)</f>
        <v>1364</v>
      </c>
      <c r="P11" s="42" t="s">
        <v>5</v>
      </c>
      <c r="Q11" s="32">
        <f>SUMIFS('Dane Tygodniowe'!$G:$G, 'Dane Tygodniowe'!$B:$B, $M$5, 'Dane Tygodniowe'!$E:$E, "*"&amp;P11)</f>
        <v>3</v>
      </c>
      <c r="R11" s="18"/>
      <c r="S11" s="18"/>
      <c r="T11" s="10"/>
      <c r="U11" s="10"/>
      <c r="V11" s="10"/>
      <c r="W11" s="10"/>
      <c r="X11" s="10"/>
      <c r="Y11" s="10"/>
    </row>
    <row r="12" spans="1:25" s="5" customFormat="1" ht="25.5" customHeight="1" x14ac:dyDescent="0.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8"/>
      <c r="L12" s="8"/>
      <c r="M12" s="8"/>
      <c r="N12" s="8"/>
      <c r="O12" s="8"/>
      <c r="P12" s="8"/>
      <c r="Q12" s="18"/>
      <c r="R12" s="18"/>
      <c r="S12" s="18"/>
      <c r="T12" s="10"/>
      <c r="U12" s="10"/>
      <c r="V12" s="10"/>
      <c r="W12" s="10"/>
      <c r="X12" s="10"/>
      <c r="Y12" s="10"/>
    </row>
    <row r="13" spans="1:25" s="5" customFormat="1" ht="25.5" customHeight="1" x14ac:dyDescent="0.5">
      <c r="A13" s="62" t="s">
        <v>95</v>
      </c>
      <c r="B13" s="62"/>
      <c r="C13" s="62"/>
      <c r="D13" s="62"/>
      <c r="E13" s="62"/>
      <c r="F13" s="62"/>
      <c r="G13" s="62"/>
      <c r="H13" s="62"/>
      <c r="I13" s="62"/>
      <c r="J13" s="62"/>
      <c r="K13" s="8"/>
      <c r="L13" s="59" t="s">
        <v>83</v>
      </c>
      <c r="M13" s="59"/>
      <c r="N13" s="59"/>
      <c r="O13" s="60" t="s">
        <v>82</v>
      </c>
      <c r="P13" s="60"/>
      <c r="Q13" s="61" t="s">
        <v>84</v>
      </c>
      <c r="R13" s="61"/>
      <c r="S13" s="61"/>
      <c r="T13" s="61"/>
      <c r="U13" s="61"/>
      <c r="V13" s="61"/>
      <c r="W13" s="61"/>
      <c r="X13" s="10"/>
      <c r="Y13" s="10"/>
    </row>
    <row r="14" spans="1:25" s="5" customFormat="1" ht="16.5" customHeight="1" x14ac:dyDescent="0.35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10"/>
      <c r="L14" s="59"/>
      <c r="M14" s="59"/>
      <c r="N14" s="59"/>
      <c r="O14" s="60"/>
      <c r="P14" s="60"/>
      <c r="Q14" s="61"/>
      <c r="R14" s="61"/>
      <c r="S14" s="61"/>
      <c r="T14" s="61"/>
      <c r="U14" s="61"/>
      <c r="V14" s="61"/>
      <c r="W14" s="61"/>
      <c r="X14" s="10"/>
      <c r="Y14" s="10"/>
    </row>
    <row r="15" spans="1:25" s="5" customFormat="1" ht="51" customHeight="1" x14ac:dyDescent="0.5">
      <c r="A15" s="7" t="s">
        <v>58</v>
      </c>
      <c r="B15" s="26" t="s">
        <v>63</v>
      </c>
      <c r="C15" s="49" t="s">
        <v>57</v>
      </c>
      <c r="D15" s="27" t="s">
        <v>64</v>
      </c>
      <c r="E15" s="28">
        <f>DATE(A16, C16, 1)</f>
        <v>45962</v>
      </c>
      <c r="F15" s="29"/>
      <c r="G15" s="38" t="s">
        <v>71</v>
      </c>
      <c r="H15" s="37">
        <f>SUMIFS(Historia!$C:$C, Historia!$U:$U, "&gt;="&amp;E15, Historia!$U:$U, "&lt;="&amp;E16)</f>
        <v>26418</v>
      </c>
      <c r="I15" s="23"/>
      <c r="J15" s="23"/>
      <c r="K15" s="10"/>
      <c r="L15" s="10"/>
      <c r="M15" s="10"/>
      <c r="N15" s="8"/>
      <c r="O15" s="8"/>
      <c r="P15" s="8"/>
      <c r="Q15" s="18"/>
      <c r="R15" s="18"/>
      <c r="S15" s="18"/>
      <c r="T15" s="10"/>
      <c r="U15" s="10"/>
      <c r="V15" s="10"/>
      <c r="W15" s="10"/>
      <c r="X15" s="10"/>
      <c r="Y15" s="10"/>
    </row>
    <row r="16" spans="1:25" s="5" customFormat="1" ht="48.75" customHeight="1" x14ac:dyDescent="0.5">
      <c r="A16" s="30">
        <v>2025</v>
      </c>
      <c r="B16" s="26" t="s">
        <v>55</v>
      </c>
      <c r="C16" s="49">
        <f>_xlfn.XMATCH(B16, {"Styczeń";"Luty";"Marzec";"Kwiecień";"Maj";"Czerwiec";"Lipiec";"Sierpień";"Wrzesień";"Październik";"Listopad";"Grudzień"})</f>
        <v>11</v>
      </c>
      <c r="D16" s="31" t="s">
        <v>65</v>
      </c>
      <c r="E16" s="28">
        <f>EDATE(E15, 1)</f>
        <v>45992</v>
      </c>
      <c r="F16" s="29"/>
      <c r="G16" s="38" t="s">
        <v>70</v>
      </c>
      <c r="H16" s="37">
        <f>SUMIFS(Historia!$D:$D, Historia!$U:$U, "&gt;="&amp;E15, Historia!$U:$U, "&lt;="&amp;E16)</f>
        <v>1</v>
      </c>
      <c r="I16" s="8"/>
      <c r="J16" s="23"/>
      <c r="K16" s="10"/>
      <c r="L16" s="10"/>
      <c r="M16" s="8"/>
      <c r="N16" s="8"/>
      <c r="O16" s="8"/>
      <c r="P16" s="8"/>
      <c r="Q16" s="18"/>
      <c r="R16" s="18"/>
      <c r="S16" s="18"/>
      <c r="T16" s="10"/>
      <c r="U16" s="10"/>
      <c r="V16" s="10"/>
      <c r="W16" s="10"/>
      <c r="X16" s="10"/>
      <c r="Y16" s="10"/>
    </row>
    <row r="17" spans="1:25" s="5" customFormat="1" ht="25.5" x14ac:dyDescent="0.5">
      <c r="A17" s="8"/>
      <c r="B17" s="8"/>
      <c r="C17" s="8"/>
      <c r="D17" s="8"/>
      <c r="E17" s="8"/>
      <c r="F17" s="8"/>
      <c r="G17" s="8"/>
      <c r="H17" s="8"/>
      <c r="J17" s="8"/>
      <c r="K17" s="10"/>
      <c r="L17" s="10"/>
      <c r="M17" s="8"/>
      <c r="N17" s="8"/>
      <c r="O17" s="8"/>
      <c r="P17" s="8"/>
      <c r="Q17" s="18"/>
      <c r="R17" s="18"/>
      <c r="S17" s="18"/>
      <c r="T17" s="10"/>
      <c r="U17" s="10"/>
      <c r="V17" s="10"/>
      <c r="W17" s="10"/>
      <c r="X17" s="10"/>
      <c r="Y17" s="10"/>
    </row>
    <row r="18" spans="1:25" s="5" customFormat="1" ht="25.5" x14ac:dyDescent="0.5">
      <c r="A18" s="8"/>
      <c r="B18" s="8"/>
      <c r="C18" s="8"/>
      <c r="D18" s="8"/>
      <c r="E18" s="8"/>
      <c r="F18" s="8"/>
      <c r="G18" s="8"/>
      <c r="H18" s="8"/>
      <c r="I18" s="8"/>
      <c r="J18" s="8"/>
      <c r="K18" s="10"/>
      <c r="L18" s="10"/>
      <c r="M18" s="8"/>
      <c r="N18" s="8"/>
      <c r="O18" s="8"/>
      <c r="P18" s="8"/>
      <c r="Q18" s="18"/>
      <c r="R18" s="18"/>
      <c r="S18" s="18"/>
      <c r="T18" s="10"/>
      <c r="U18" s="10"/>
      <c r="V18" s="10"/>
      <c r="W18" s="10"/>
      <c r="X18" s="10"/>
      <c r="Y18" s="10"/>
    </row>
    <row r="19" spans="1:25" s="5" customFormat="1" ht="25.5" x14ac:dyDescent="0.5">
      <c r="A19" s="8"/>
      <c r="B19" s="8"/>
      <c r="C19" s="8"/>
      <c r="D19" s="8"/>
      <c r="E19" s="8"/>
      <c r="F19" s="8"/>
      <c r="G19" s="8"/>
      <c r="H19" s="8"/>
      <c r="I19" s="8"/>
      <c r="J19" s="8"/>
      <c r="K19" s="10"/>
      <c r="L19" s="10"/>
      <c r="M19" s="8"/>
      <c r="N19" s="8"/>
      <c r="O19" s="8"/>
      <c r="P19" s="8"/>
      <c r="Q19" s="18"/>
      <c r="R19" s="18"/>
      <c r="S19" s="18"/>
      <c r="T19" s="10"/>
      <c r="U19" s="10"/>
      <c r="V19" s="10"/>
      <c r="W19" s="10"/>
      <c r="X19" s="10"/>
      <c r="Y19" s="10"/>
    </row>
    <row r="20" spans="1:25" s="5" customFormat="1" ht="25.5" x14ac:dyDescent="0.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18"/>
      <c r="R20" s="18"/>
      <c r="S20" s="18"/>
      <c r="T20" s="10"/>
      <c r="U20" s="10"/>
      <c r="V20" s="10"/>
      <c r="W20" s="10"/>
      <c r="X20" s="10"/>
      <c r="Y20" s="10"/>
    </row>
    <row r="21" spans="1:25" s="5" customFormat="1" ht="25.5" x14ac:dyDescent="0.5">
      <c r="A21" s="8"/>
      <c r="B21" s="8"/>
      <c r="C21" s="8"/>
      <c r="D21" s="8"/>
      <c r="E21" s="8"/>
      <c r="F21" s="8"/>
      <c r="G21" s="8"/>
      <c r="H21" s="8"/>
      <c r="I21" s="39"/>
      <c r="J21" s="8"/>
      <c r="K21" s="8"/>
      <c r="L21" s="8"/>
      <c r="M21" s="8"/>
      <c r="N21" s="8"/>
      <c r="O21" s="8"/>
      <c r="P21" s="8"/>
      <c r="Q21" s="18"/>
      <c r="R21" s="18"/>
      <c r="S21" s="18"/>
      <c r="T21" s="10"/>
      <c r="U21" s="10"/>
      <c r="V21" s="10"/>
      <c r="W21" s="10"/>
      <c r="X21" s="10"/>
      <c r="Y21" s="10"/>
    </row>
    <row r="22" spans="1:25" s="5" customFormat="1" ht="25.5" x14ac:dyDescent="0.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0"/>
      <c r="N22" s="10"/>
      <c r="O22" s="8"/>
      <c r="P22" s="8"/>
      <c r="Q22" s="18"/>
      <c r="R22" s="18"/>
      <c r="S22" s="18"/>
      <c r="T22" s="10"/>
      <c r="U22" s="10"/>
      <c r="V22" s="10"/>
      <c r="W22" s="10"/>
      <c r="X22" s="10"/>
      <c r="Y22" s="10"/>
    </row>
    <row r="23" spans="1:25" s="5" customFormat="1" ht="25.5" x14ac:dyDescent="0.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10"/>
      <c r="N23" s="10"/>
      <c r="O23" s="10"/>
      <c r="P23" s="10"/>
      <c r="Q23" s="18"/>
      <c r="R23" s="18"/>
      <c r="S23" s="18"/>
      <c r="T23" s="10"/>
      <c r="U23" s="10"/>
      <c r="V23" s="10"/>
      <c r="W23" s="10"/>
      <c r="X23" s="10"/>
      <c r="Y23" s="10"/>
    </row>
    <row r="24" spans="1:25" s="5" customFormat="1" ht="25.5" x14ac:dyDescent="0.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10"/>
      <c r="N24" s="10"/>
      <c r="O24" s="10"/>
      <c r="P24" s="10"/>
      <c r="Q24" s="18"/>
      <c r="R24" s="18"/>
      <c r="S24" s="18"/>
      <c r="T24" s="10"/>
      <c r="U24" s="10"/>
      <c r="V24" s="10"/>
      <c r="W24" s="10"/>
      <c r="X24" s="10"/>
      <c r="Y24" s="10"/>
    </row>
    <row r="25" spans="1:25" s="5" customFormat="1" ht="25.5" x14ac:dyDescent="0.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10"/>
      <c r="N25" s="10"/>
      <c r="O25" s="10"/>
      <c r="P25" s="10"/>
      <c r="Q25" s="18"/>
      <c r="R25" s="18"/>
      <c r="S25" s="18"/>
      <c r="T25" s="10"/>
      <c r="U25" s="10"/>
      <c r="V25" s="10"/>
      <c r="W25" s="10"/>
      <c r="X25" s="10"/>
      <c r="Y25" s="10"/>
    </row>
    <row r="26" spans="1:25" s="5" customFormat="1" ht="25.5" x14ac:dyDescent="0.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/>
      <c r="N26" s="10"/>
      <c r="O26" s="10"/>
      <c r="P26" s="10"/>
      <c r="Q26" s="18"/>
      <c r="R26" s="18"/>
      <c r="S26" s="18"/>
      <c r="T26" s="10"/>
      <c r="U26" s="10"/>
      <c r="V26" s="10"/>
      <c r="W26" s="10"/>
      <c r="X26" s="10"/>
      <c r="Y26" s="10"/>
    </row>
    <row r="27" spans="1:25" s="5" customFormat="1" ht="25.5" x14ac:dyDescent="0.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10"/>
      <c r="N27" s="10"/>
      <c r="O27" s="10"/>
      <c r="P27" s="10"/>
      <c r="Q27" s="18"/>
      <c r="R27" s="18"/>
      <c r="S27" s="18"/>
      <c r="T27" s="10"/>
      <c r="U27" s="10"/>
      <c r="V27" s="10"/>
      <c r="W27" s="10"/>
      <c r="X27" s="10"/>
      <c r="Y27" s="10"/>
    </row>
    <row r="28" spans="1:25" s="5" customFormat="1" ht="25.5" x14ac:dyDescent="0.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10"/>
      <c r="N28" s="10"/>
      <c r="O28" s="10"/>
      <c r="P28" s="10"/>
      <c r="Q28" s="18"/>
      <c r="R28" s="18"/>
      <c r="S28" s="18"/>
      <c r="T28" s="10"/>
      <c r="U28" s="10"/>
      <c r="V28" s="10"/>
      <c r="W28" s="52"/>
      <c r="X28" s="52"/>
      <c r="Y28" s="52"/>
    </row>
    <row r="29" spans="1:25" s="5" customFormat="1" ht="25.5" x14ac:dyDescent="0.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10"/>
      <c r="N29" s="10"/>
      <c r="O29" s="10"/>
      <c r="P29" s="10"/>
      <c r="Q29" s="18"/>
      <c r="R29" s="18"/>
      <c r="S29" s="18"/>
      <c r="T29" s="10"/>
      <c r="U29" s="10"/>
      <c r="V29" s="10" t="s">
        <v>80</v>
      </c>
      <c r="W29" s="52" t="s">
        <v>79</v>
      </c>
      <c r="X29" s="52"/>
      <c r="Y29" s="52"/>
    </row>
    <row r="30" spans="1:25" s="5" customFormat="1" ht="25.5" x14ac:dyDescent="0.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10"/>
      <c r="P30" s="10"/>
      <c r="Q30" s="10"/>
      <c r="R30" s="10"/>
      <c r="S30" s="10"/>
      <c r="T30" s="10"/>
      <c r="U30" s="10"/>
      <c r="V30" s="10">
        <f>SUMIFS(Historia!C:C, Historia!B:B, M5-1, Historia!A:A, YEAR(B1))</f>
        <v>26418</v>
      </c>
      <c r="W30" s="10">
        <f>M6</f>
        <v>9548</v>
      </c>
      <c r="X30" s="10"/>
      <c r="Y30" s="10"/>
    </row>
    <row r="31" spans="1:25" s="5" customFormat="1" ht="25.5" x14ac:dyDescent="0.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10"/>
      <c r="R31" s="10"/>
      <c r="S31" s="10"/>
      <c r="T31" s="10"/>
      <c r="U31" s="10"/>
      <c r="V31" s="10"/>
      <c r="W31" s="10"/>
      <c r="X31" s="10"/>
      <c r="Y31" s="10"/>
    </row>
    <row r="32" spans="1:25" s="5" customFormat="1" ht="25.5" x14ac:dyDescent="0.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10"/>
      <c r="R32" s="10"/>
      <c r="S32" s="10"/>
      <c r="T32" s="10"/>
      <c r="U32" s="10"/>
      <c r="V32" s="10"/>
      <c r="W32" s="10"/>
      <c r="X32" s="10"/>
      <c r="Y32" s="10"/>
    </row>
    <row r="33" spans="1:25" s="5" customFormat="1" ht="25.5" x14ac:dyDescent="0.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10"/>
      <c r="R33" s="10"/>
      <c r="S33" s="10"/>
      <c r="T33" s="10"/>
      <c r="U33" s="10"/>
      <c r="V33" s="10"/>
      <c r="W33" s="10"/>
      <c r="X33" s="10"/>
      <c r="Y33" s="10"/>
    </row>
    <row r="34" spans="1:25" s="5" customFormat="1" ht="25.5" x14ac:dyDescent="0.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10"/>
      <c r="R34" s="10"/>
      <c r="S34" s="10"/>
      <c r="T34" s="10"/>
      <c r="U34" s="10"/>
      <c r="V34" s="10"/>
      <c r="W34" s="10"/>
      <c r="X34" s="10"/>
      <c r="Y34" s="10"/>
    </row>
    <row r="35" spans="1:25" s="5" customFormat="1" ht="25.5" x14ac:dyDescent="0.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10"/>
      <c r="R35" s="10"/>
      <c r="S35" s="10"/>
      <c r="T35" s="10"/>
      <c r="U35" s="10"/>
      <c r="V35" s="10"/>
      <c r="W35" s="10"/>
      <c r="X35" s="10"/>
      <c r="Y35" s="10"/>
    </row>
    <row r="36" spans="1:25" s="5" customFormat="1" ht="25.5" x14ac:dyDescent="0.5">
      <c r="A36" s="24"/>
      <c r="B36" s="24"/>
      <c r="C36" s="24"/>
      <c r="D36" s="53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10"/>
      <c r="R36" s="10"/>
      <c r="S36" s="10"/>
      <c r="T36" s="10"/>
      <c r="U36" s="10"/>
      <c r="V36" s="10"/>
      <c r="W36" s="10"/>
      <c r="X36" s="10"/>
      <c r="Y36" s="10"/>
    </row>
    <row r="37" spans="1:25" s="5" customFormat="1" ht="21" x14ac:dyDescent="0.3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s="5" customFormat="1" ht="21" x14ac:dyDescent="0.3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s="5" customFormat="1" ht="21" x14ac:dyDescent="0.3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s="5" customFormat="1" ht="21" x14ac:dyDescent="0.3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s="5" customFormat="1" ht="21" x14ac:dyDescent="0.3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s="5" customFormat="1" ht="21" x14ac:dyDescent="0.3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s="5" customFormat="1" ht="21" x14ac:dyDescent="0.35">
      <c r="A43" s="25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hidden="1" x14ac:dyDescent="0.25">
      <c r="K44" s="3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5" hidden="1" x14ac:dyDescent="0.25">
      <c r="K45" s="3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5" hidden="1" x14ac:dyDescent="0.25">
      <c r="K46" s="3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5" hidden="1" x14ac:dyDescent="0.25">
      <c r="K47" s="3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5" hidden="1" x14ac:dyDescent="0.25">
      <c r="K48" s="3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1:23" hidden="1" x14ac:dyDescent="0.25">
      <c r="K49" s="3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1:23" hidden="1" x14ac:dyDescent="0.25">
      <c r="K50" s="3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1:23" hidden="1" x14ac:dyDescent="0.25">
      <c r="K51" s="3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1:23" hidden="1" x14ac:dyDescent="0.25">
      <c r="K52" s="3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1:23" hidden="1" x14ac:dyDescent="0.25">
      <c r="K53" s="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1:23" hidden="1" x14ac:dyDescent="0.25">
      <c r="K54" s="3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1:23" hidden="1" x14ac:dyDescent="0.25">
      <c r="K55" s="3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1:23" hidden="1" x14ac:dyDescent="0.25">
      <c r="K56" s="3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1:23" hidden="1" x14ac:dyDescent="0.25">
      <c r="K57" s="3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1:23" hidden="1" x14ac:dyDescent="0.25">
      <c r="K58" s="3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1:23" hidden="1" x14ac:dyDescent="0.25">
      <c r="K59" s="3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1:23" hidden="1" x14ac:dyDescent="0.25">
      <c r="K60" s="3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1:23" hidden="1" x14ac:dyDescent="0.25">
      <c r="K61" s="3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1:23" hidden="1" x14ac:dyDescent="0.25">
      <c r="K62" s="3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1:23" hidden="1" x14ac:dyDescent="0.25">
      <c r="K63" s="3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1:23" hidden="1" x14ac:dyDescent="0.25">
      <c r="K64" s="3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1:23" hidden="1" x14ac:dyDescent="0.25">
      <c r="K65" s="3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1:23" hidden="1" x14ac:dyDescent="0.25">
      <c r="K66" s="3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1:23" hidden="1" x14ac:dyDescent="0.25">
      <c r="K67" s="3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1:23" hidden="1" x14ac:dyDescent="0.25">
      <c r="K68" s="3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1:23" hidden="1" x14ac:dyDescent="0.25">
      <c r="K69" s="3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1:23" hidden="1" x14ac:dyDescent="0.25">
      <c r="K70" s="3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1:23" hidden="1" x14ac:dyDescent="0.25">
      <c r="K71" s="3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1:23" hidden="1" x14ac:dyDescent="0.25">
      <c r="K72" s="3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1:23" hidden="1" x14ac:dyDescent="0.25">
      <c r="K73" s="3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1:23" hidden="1" x14ac:dyDescent="0.25">
      <c r="K74" s="3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1:23" hidden="1" x14ac:dyDescent="0.25">
      <c r="K75" s="3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1:23" hidden="1" x14ac:dyDescent="0.25">
      <c r="K76" s="3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1:23" hidden="1" x14ac:dyDescent="0.25">
      <c r="K77" s="3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1:23" hidden="1" x14ac:dyDescent="0.25">
      <c r="K78" s="3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1:23" hidden="1" x14ac:dyDescent="0.25">
      <c r="K79" s="3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1:23" hidden="1" x14ac:dyDescent="0.25">
      <c r="K80" s="3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1:23" hidden="1" x14ac:dyDescent="0.25">
      <c r="K81" s="3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1:23" hidden="1" x14ac:dyDescent="0.25">
      <c r="K82" s="3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1:23" hidden="1" x14ac:dyDescent="0.25">
      <c r="K83" s="3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1:23" hidden="1" x14ac:dyDescent="0.25">
      <c r="K84" s="3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1:23" hidden="1" x14ac:dyDescent="0.25">
      <c r="K85" s="3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1:23" hidden="1" x14ac:dyDescent="0.25">
      <c r="K86" s="3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1:23" hidden="1" x14ac:dyDescent="0.25">
      <c r="K87" s="3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1:23" hidden="1" x14ac:dyDescent="0.25">
      <c r="K88" s="3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1:23" hidden="1" x14ac:dyDescent="0.25">
      <c r="K89" s="3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1:23" hidden="1" x14ac:dyDescent="0.25">
      <c r="K90" s="3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1:23" hidden="1" x14ac:dyDescent="0.25">
      <c r="K91" s="3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1:23" hidden="1" x14ac:dyDescent="0.25">
      <c r="K92" s="3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1:23" hidden="1" x14ac:dyDescent="0.25">
      <c r="K93" s="3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1:23" hidden="1" x14ac:dyDescent="0.25">
      <c r="K94" s="3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1:23" hidden="1" x14ac:dyDescent="0.25">
      <c r="K95" s="3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1:23" hidden="1" x14ac:dyDescent="0.25">
      <c r="K96" s="3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1:23" hidden="1" x14ac:dyDescent="0.25">
      <c r="K97" s="3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1:23" hidden="1" x14ac:dyDescent="0.25">
      <c r="K98" s="3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1:23" hidden="1" x14ac:dyDescent="0.25">
      <c r="K99" s="3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1:23" hidden="1" x14ac:dyDescent="0.25">
      <c r="K100" s="3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1:23" hidden="1" x14ac:dyDescent="0.25">
      <c r="K101" s="3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1:23" hidden="1" x14ac:dyDescent="0.25">
      <c r="K102" s="3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1:23" hidden="1" x14ac:dyDescent="0.25">
      <c r="K103" s="3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1:23" hidden="1" x14ac:dyDescent="0.25">
      <c r="K104" s="3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1:23" hidden="1" x14ac:dyDescent="0.25">
      <c r="K105" s="3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1:23" hidden="1" x14ac:dyDescent="0.25">
      <c r="K106" s="3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1:23" hidden="1" x14ac:dyDescent="0.25">
      <c r="K107" s="3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1:23" hidden="1" x14ac:dyDescent="0.25">
      <c r="K108" s="3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1:23" hidden="1" x14ac:dyDescent="0.25">
      <c r="K109" s="3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1:23" hidden="1" x14ac:dyDescent="0.25">
      <c r="K110" s="3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1:23" hidden="1" x14ac:dyDescent="0.25">
      <c r="K111" s="3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1:23" hidden="1" x14ac:dyDescent="0.25">
      <c r="K112" s="3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1:23" hidden="1" x14ac:dyDescent="0.25">
      <c r="K113" s="3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1:23" x14ac:dyDescent="0.25"/>
    <row r="115" spans="11:23" x14ac:dyDescent="0.25"/>
  </sheetData>
  <mergeCells count="6">
    <mergeCell ref="L1:V3"/>
    <mergeCell ref="C1:G3"/>
    <mergeCell ref="L13:N14"/>
    <mergeCell ref="O13:P14"/>
    <mergeCell ref="Q13:W14"/>
    <mergeCell ref="A13:J14"/>
  </mergeCells>
  <phoneticPr fontId="1" type="noConversion"/>
  <dataValidations count="2">
    <dataValidation type="list" sqref="B4:B11" xr:uid="{D79AEB16-927F-4932-922B-1ED0AB86372B}">
      <formula1>ListaKategorii</formula1>
    </dataValidation>
    <dataValidation type="list" allowBlank="1" showInputMessage="1" showErrorMessage="1" sqref="A16" xr:uid="{CEF5839B-6F48-43E2-85AC-29D0418ADA0A}">
      <formula1>$X$1:$X$5</formula1>
    </dataValidation>
  </dataValidation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178A7F-20DF-474B-8FB5-5B8E2FD1DA1B}">
          <x14:formula1>
            <xm:f>Historia!$W$2:$W$13</xm:f>
          </x14:formula1>
          <xm:sqref>B16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kategorie</vt:lpstr>
      <vt:lpstr>Historia</vt:lpstr>
      <vt:lpstr>Dane Tygodniowe</vt:lpstr>
      <vt:lpstr>Trening A</vt:lpstr>
      <vt:lpstr>ListaKategorii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Kulwicki (115826)</dc:creator>
  <cp:lastModifiedBy>Krzysztof Kulwicki (115826)</cp:lastModifiedBy>
  <dcterms:created xsi:type="dcterms:W3CDTF">2025-11-22T09:04:05Z</dcterms:created>
  <dcterms:modified xsi:type="dcterms:W3CDTF">2025-11-27T13:31:08Z</dcterms:modified>
</cp:coreProperties>
</file>